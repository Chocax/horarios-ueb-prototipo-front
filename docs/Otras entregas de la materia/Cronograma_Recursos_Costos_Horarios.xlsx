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68d90b5a8d5fa8/6/Proyecto Nucleo II/Kairos 2/"/>
    </mc:Choice>
  </mc:AlternateContent>
  <xr:revisionPtr revIDLastSave="0" documentId="8_{3C56C760-C573-42F1-A389-37B75BAC6E8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puestos" sheetId="1" r:id="rId1"/>
    <sheet name="Cronograma" sheetId="2" r:id="rId2"/>
    <sheet name="Costos_EDT" sheetId="3" r:id="rId3"/>
    <sheet name="Estimacion_PERT" sheetId="4" r:id="rId4"/>
    <sheet name="Gantt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4" l="1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20" i="3"/>
  <c r="B19" i="3"/>
  <c r="B18" i="3"/>
  <c r="B17" i="3"/>
  <c r="B16" i="3"/>
  <c r="B15" i="3"/>
  <c r="B21" i="3" s="1"/>
  <c r="C9" i="3"/>
  <c r="C8" i="3"/>
  <c r="C7" i="3"/>
  <c r="C6" i="3"/>
  <c r="C5" i="3"/>
  <c r="C10" i="3" s="1"/>
  <c r="C4" i="3"/>
  <c r="B8" i="1"/>
  <c r="B10" i="1" s="1"/>
  <c r="N37" i="2"/>
  <c r="O37" i="2" s="1"/>
  <c r="P37" i="2" s="1"/>
  <c r="N36" i="2"/>
  <c r="O36" i="2" s="1"/>
  <c r="P36" i="2" s="1"/>
  <c r="N35" i="2"/>
  <c r="O35" i="2" s="1"/>
  <c r="P35" i="2" s="1"/>
  <c r="N34" i="2"/>
  <c r="O34" i="2" s="1"/>
  <c r="P34" i="2" s="1"/>
  <c r="N33" i="2"/>
  <c r="O33" i="2" s="1"/>
  <c r="P33" i="2" s="1"/>
  <c r="N32" i="2"/>
  <c r="O32" i="2" s="1"/>
  <c r="P32" i="2" s="1"/>
  <c r="N31" i="2"/>
  <c r="O31" i="2" s="1"/>
  <c r="P31" i="2" s="1"/>
  <c r="N30" i="2"/>
  <c r="O30" i="2" s="1"/>
  <c r="P30" i="2" s="1"/>
  <c r="N29" i="2"/>
  <c r="O29" i="2" s="1"/>
  <c r="P29" i="2" s="1"/>
  <c r="N28" i="2"/>
  <c r="O28" i="2" s="1"/>
  <c r="N26" i="2"/>
  <c r="O26" i="2" s="1"/>
  <c r="P26" i="2" s="1"/>
  <c r="N24" i="2"/>
  <c r="O24" i="2" s="1"/>
  <c r="P24" i="2" s="1"/>
  <c r="N23" i="2"/>
  <c r="O23" i="2" s="1"/>
  <c r="P23" i="2" s="1"/>
  <c r="N22" i="2"/>
  <c r="O22" i="2" s="1"/>
  <c r="P22" i="2" s="1"/>
  <c r="N21" i="2"/>
  <c r="O21" i="2" s="1"/>
  <c r="N20" i="2"/>
  <c r="O20" i="2" s="1"/>
  <c r="P20" i="2" s="1"/>
  <c r="N19" i="2"/>
  <c r="O19" i="2" s="1"/>
  <c r="P19" i="2" s="1"/>
  <c r="N18" i="2"/>
  <c r="O18" i="2" s="1"/>
  <c r="P18" i="2" s="1"/>
  <c r="N17" i="2"/>
  <c r="O17" i="2" s="1"/>
  <c r="N16" i="2"/>
  <c r="O16" i="2" s="1"/>
  <c r="N15" i="2"/>
  <c r="O15" i="2" s="1"/>
  <c r="P15" i="2" s="1"/>
  <c r="N14" i="2"/>
  <c r="O14" i="2" s="1"/>
  <c r="N12" i="2"/>
  <c r="O12" i="2" s="1"/>
  <c r="P12" i="2" s="1"/>
  <c r="N11" i="2"/>
  <c r="O11" i="2" s="1"/>
  <c r="P11" i="2" s="1"/>
  <c r="N10" i="2"/>
  <c r="O10" i="2" s="1"/>
  <c r="P10" i="2" s="1"/>
  <c r="N9" i="2"/>
  <c r="O9" i="2" s="1"/>
  <c r="N7" i="2"/>
  <c r="O7" i="2" s="1"/>
  <c r="P7" i="2" s="1"/>
  <c r="N6" i="2"/>
  <c r="O6" i="2" s="1"/>
  <c r="N5" i="2"/>
  <c r="O5" i="2" s="1"/>
  <c r="N4" i="2"/>
  <c r="O4" i="2" s="1"/>
  <c r="N3" i="2"/>
  <c r="O3" i="2" s="1"/>
  <c r="P3" i="2" s="1"/>
  <c r="N2" i="2"/>
  <c r="O2" i="2" s="1"/>
  <c r="P8" i="2" l="1"/>
  <c r="P13" i="2"/>
  <c r="P25" i="2"/>
  <c r="P27" i="2"/>
  <c r="P38" i="2"/>
  <c r="P28" i="2"/>
  <c r="E8" i="3" s="1"/>
  <c r="D8" i="3"/>
  <c r="P21" i="2"/>
  <c r="E9" i="3" s="1"/>
  <c r="D9" i="3"/>
  <c r="P17" i="2"/>
  <c r="E7" i="3" s="1"/>
  <c r="D7" i="3"/>
  <c r="P16" i="2"/>
  <c r="C17" i="3"/>
  <c r="P14" i="2"/>
  <c r="D16" i="3" s="1"/>
  <c r="C16" i="3"/>
  <c r="P9" i="2"/>
  <c r="D6" i="3"/>
  <c r="C19" i="3"/>
  <c r="P6" i="2"/>
  <c r="D15" i="3" s="1"/>
  <c r="C15" i="3"/>
  <c r="P5" i="2"/>
  <c r="D18" i="3" s="1"/>
  <c r="C18" i="3"/>
  <c r="P4" i="2"/>
  <c r="E4" i="3" s="1"/>
  <c r="D4" i="3"/>
  <c r="D10" i="3" s="1"/>
  <c r="O39" i="2"/>
  <c r="D5" i="3"/>
  <c r="C20" i="3"/>
  <c r="P2" i="2"/>
  <c r="D19" i="3" l="1"/>
  <c r="E6" i="3"/>
  <c r="D20" i="3"/>
  <c r="P39" i="2"/>
  <c r="E5" i="3"/>
  <c r="E10" i="3" s="1"/>
  <c r="C21" i="3"/>
  <c r="D17" i="3"/>
  <c r="D21" i="3" s="1"/>
  <c r="F8" i="3" l="1"/>
  <c r="F7" i="3"/>
  <c r="F9" i="3"/>
  <c r="F6" i="3"/>
  <c r="F4" i="3"/>
  <c r="F5" i="3"/>
</calcChain>
</file>

<file path=xl/sharedStrings.xml><?xml version="1.0" encoding="utf-8"?>
<sst xmlns="http://schemas.openxmlformats.org/spreadsheetml/2006/main" count="669" uniqueCount="308">
  <si>
    <t>Supuestos de costeo del proyecto</t>
  </si>
  <si>
    <t>Parametro</t>
  </si>
  <si>
    <t>Valor</t>
  </si>
  <si>
    <t>Sustento / fuente</t>
  </si>
  <si>
    <t>Horas efectivas por persona por dia</t>
  </si>
  <si>
    <t>Dedicacion parcial: equipo de 5 estudiantes con carga academica paralela (restriccion 2.5 del caso)</t>
  </si>
  <si>
    <t>Tamano del equipo</t>
  </si>
  <si>
    <t>Hernando, Jhonatan, Juanita, Laura y Santiago</t>
  </si>
  <si>
    <t>Salario base mensual ingeniero junior</t>
  </si>
  <si>
    <t>Promedio de mercado Bogota 2026 (Indeed: $2.827.195; Computrabajo: rango $2.6M-$3.2M)</t>
  </si>
  <si>
    <t>Factor prestacional</t>
  </si>
  <si>
    <t>Cesantias, intereses, prima, vacaciones, salud, pension, ARL y parafiscales</t>
  </si>
  <si>
    <t>Costo empresa mensual</t>
  </si>
  <si>
    <t>Salario base x factor prestacional</t>
  </si>
  <si>
    <t>Horas laborales al mes</t>
  </si>
  <si>
    <t>Jornada de 44 h/semana (Ley 2101 de 2021, fase vigente desde julio 2026) x 4,33 semanas</t>
  </si>
  <si>
    <t>TARIFA HORA-PERSONA</t>
  </si>
  <si>
    <t>Costo empresa mensual / horas laborales al mes</t>
  </si>
  <si>
    <t>Costo de infraestructura</t>
  </si>
  <si>
    <t>Restriccion del proyecto: despliegue en servicios gratuitos o ambiente local</t>
  </si>
  <si>
    <t>Celdas en azul = supuestos editables. Celdas en negro = calculadas por formula.</t>
  </si>
  <si>
    <t>Cambiar un supuesto recalcula automaticamente todo el cronograma y el resumen por EDT.</t>
  </si>
  <si>
    <t>ID EDT</t>
  </si>
  <si>
    <t xml:space="preserve">Paquete EDT </t>
  </si>
  <si>
    <t>Actividad</t>
  </si>
  <si>
    <t>Responsable</t>
  </si>
  <si>
    <t>Duracion (dias habiles)</t>
  </si>
  <si>
    <t>Predecesoras</t>
  </si>
  <si>
    <t>Inicio</t>
  </si>
  <si>
    <t>Fin</t>
  </si>
  <si>
    <t>Hito</t>
  </si>
  <si>
    <t>Ruta critica</t>
  </si>
  <si>
    <t>Solape / nota</t>
  </si>
  <si>
    <t>Entrega del curso asociada</t>
  </si>
  <si>
    <t>Paquete EDT N2</t>
  </si>
  <si>
    <t>Personas asignadas</t>
  </si>
  <si>
    <t>Horas-persona</t>
  </si>
  <si>
    <t>Costo de la actividad</t>
  </si>
  <si>
    <t>2.1.1</t>
  </si>
  <si>
    <t>2.1</t>
  </si>
  <si>
    <t>Levantamiento de requisitos, normativa y restricciones</t>
  </si>
  <si>
    <t>Equipo completo</t>
  </si>
  <si>
    <t>-</t>
  </si>
  <si>
    <t>14/08/2026</t>
  </si>
  <si>
    <t>19/08/2026</t>
  </si>
  <si>
    <t>No</t>
  </si>
  <si>
    <t>Si</t>
  </si>
  <si>
    <t>Ya completado antes del inicio de este cronograma (antes del 02-sep-2026)</t>
  </si>
  <si>
    <t>2.2.1</t>
  </si>
  <si>
    <t>2.2</t>
  </si>
  <si>
    <t>Especificar requisitos funcionales y no funcionales (RF/RNF)</t>
  </si>
  <si>
    <t>20/08/2026</t>
  </si>
  <si>
    <t>26/08/2026</t>
  </si>
  <si>
    <t>1.1.1</t>
  </si>
  <si>
    <t>1.1</t>
  </si>
  <si>
    <t>Finalizar EDT y plan de trabajo</t>
  </si>
  <si>
    <t>02/09/2026</t>
  </si>
  <si>
    <t>04/09/2026</t>
  </si>
  <si>
    <t>2.3.1</t>
  </si>
  <si>
    <t>2.3</t>
  </si>
  <si>
    <t>Ajustar RF/RNF y validar criterios de aceptacion con el profesor</t>
  </si>
  <si>
    <t>Laura</t>
  </si>
  <si>
    <t>1.1.2</t>
  </si>
  <si>
    <t>Elaborar cronograma y diagrama de Gantt</t>
  </si>
  <si>
    <t>Juanita</t>
  </si>
  <si>
    <t>1.1.1; 2.3.1</t>
  </si>
  <si>
    <t>07/09/2026</t>
  </si>
  <si>
    <t>09/09/2026</t>
  </si>
  <si>
    <t>1.3.1</t>
  </si>
  <si>
    <t>1.3</t>
  </si>
  <si>
    <t>Preparar y sustentar entrega semana 5</t>
  </si>
  <si>
    <t>11/09/2026</t>
  </si>
  <si>
    <t>Inicio-inicio con el ultimo dia de 1.1.2 (solape de 1 dia) para no perder tiempo antes de la entrega del 11-sep</t>
  </si>
  <si>
    <t>H1</t>
  </si>
  <si>
    <t>H1 Requisitos aprobados por el cliente</t>
  </si>
  <si>
    <t>Entrega curso: objetivos/alcance/EDT/requisitos/cronograma (10%)</t>
  </si>
  <si>
    <t>3.1.1</t>
  </si>
  <si>
    <t>3.1</t>
  </si>
  <si>
    <t>Arquitectura de software y decisiones de diseno</t>
  </si>
  <si>
    <t>Santiago</t>
  </si>
  <si>
    <t>14/09/2026</t>
  </si>
  <si>
    <t>17/09/2026</t>
  </si>
  <si>
    <t>3.2.1</t>
  </si>
  <si>
    <t>3.2</t>
  </si>
  <si>
    <t>Modelo de datos conceptual, logico y fisico (3FN)</t>
  </si>
  <si>
    <t>21/09/2026</t>
  </si>
  <si>
    <t>3.3.1</t>
  </si>
  <si>
    <t>3.3</t>
  </si>
  <si>
    <t>Diseno de interfaz (wireframes, tablero drag-and-drop)</t>
  </si>
  <si>
    <t>18/09/2026</t>
  </si>
  <si>
    <t>22/09/2026</t>
  </si>
  <si>
    <t>3.4.1</t>
  </si>
  <si>
    <t>3.4</t>
  </si>
  <si>
    <t>Diseno del motor de reglas y del algoritmo voraz</t>
  </si>
  <si>
    <t>23/09/2026</t>
  </si>
  <si>
    <t>H2</t>
  </si>
  <si>
    <t>H2 Modelo de datos aprobado</t>
  </si>
  <si>
    <t>1.3.2</t>
  </si>
  <si>
    <t>Preparar presentacion de fase de diseno</t>
  </si>
  <si>
    <t>Hernando</t>
  </si>
  <si>
    <t>3.3.1; 3.4.1</t>
  </si>
  <si>
    <t>25/09/2026</t>
  </si>
  <si>
    <t>Inicio-inicio con el ultimo dia de 3.3.1 y 3.4.1 (solape de 1 dia, usa el material ya avanzado esa misma tarde)</t>
  </si>
  <si>
    <t>Entrega curso: fase de diseno (10%)</t>
  </si>
  <si>
    <t>1.1.3</t>
  </si>
  <si>
    <t>Elaborar backlog priorizado</t>
  </si>
  <si>
    <t>28/09/2026</t>
  </si>
  <si>
    <t>01/10/2026</t>
  </si>
  <si>
    <t>1.1.4</t>
  </si>
  <si>
    <t>Estimar costos del proyecto (horas x persona, recursos)</t>
  </si>
  <si>
    <t>Jhonatan</t>
  </si>
  <si>
    <t>4.1.1</t>
  </si>
  <si>
    <t>4.1</t>
  </si>
  <si>
    <t>BD fisica y datos semilla</t>
  </si>
  <si>
    <t>1.3.3</t>
  </si>
  <si>
    <t>Preparar presentacion de backlog y costo</t>
  </si>
  <si>
    <t>1.1.3; 1.1.4</t>
  </si>
  <si>
    <t>02/10/2026</t>
  </si>
  <si>
    <t>06/10/2026</t>
  </si>
  <si>
    <t>Entrega curso: backlog y costo (10%)</t>
  </si>
  <si>
    <t>4.2.1</t>
  </si>
  <si>
    <t>4.2</t>
  </si>
  <si>
    <t>Backend: CRUD del dominio (parte 1)</t>
  </si>
  <si>
    <t>4.1.1; 1.1.4</t>
  </si>
  <si>
    <t>13/10/2026</t>
  </si>
  <si>
    <t>4.4.1</t>
  </si>
  <si>
    <t>4.4</t>
  </si>
  <si>
    <t>Generador de propuesta inicial (algoritmo voraz)</t>
  </si>
  <si>
    <t>12/10/2026</t>
  </si>
  <si>
    <t>Avanza contra la interfaz de validacion como stub (RNF-04), en paralelo con 4.3.1; se integra con el motor real antes de H4</t>
  </si>
  <si>
    <t>6.1.1</t>
  </si>
  <si>
    <t>6.1</t>
  </si>
  <si>
    <t>Configurar infraestructura y pipeline CI/CD</t>
  </si>
  <si>
    <t>08/10/2026</t>
  </si>
  <si>
    <t>4.5.1</t>
  </si>
  <si>
    <t>4.5</t>
  </si>
  <si>
    <t>Frontend: tablero semanal drag-and-drop</t>
  </si>
  <si>
    <t>19/10/2026</t>
  </si>
  <si>
    <t>Inicio-inicio con 4.2.1: avanza con datos simulados antes de que el generador este terminado</t>
  </si>
  <si>
    <t>4.3.1</t>
  </si>
  <si>
    <t>4.3</t>
  </si>
  <si>
    <t>Motor de validacion de restricciones duras</t>
  </si>
  <si>
    <t>3.4.1; 4.2.1</t>
  </si>
  <si>
    <t>14/10/2026</t>
  </si>
  <si>
    <t>4.6.1</t>
  </si>
  <si>
    <t>4.6</t>
  </si>
  <si>
    <t>Reportes, indicadores y exportacion (CSV/PDF)</t>
  </si>
  <si>
    <t>16/10/2026</t>
  </si>
  <si>
    <t>H3</t>
  </si>
  <si>
    <t>H3 Motor de reglas funcionando y probado</t>
  </si>
  <si>
    <t>1.3.4</t>
  </si>
  <si>
    <t>Integrar y preparar sustentacion del prototipo (CI/CD)</t>
  </si>
  <si>
    <t>4.4.1; 4.5.1; 4.6.1; 6.1.1; H3</t>
  </si>
  <si>
    <t>20/10/2026</t>
  </si>
  <si>
    <t>22/10/2026</t>
  </si>
  <si>
    <t>Entrega curso: prototipo integrado navegable + CI/CD (20%)</t>
  </si>
  <si>
    <t>H4</t>
  </si>
  <si>
    <t>H4 Prototipo integrado navegable</t>
  </si>
  <si>
    <t>5.1.1</t>
  </si>
  <si>
    <t>5.1</t>
  </si>
  <si>
    <t>Elaborar plan de pruebas</t>
  </si>
  <si>
    <t>26/10/2026</t>
  </si>
  <si>
    <t>30/10/2026</t>
  </si>
  <si>
    <t>5.1.2</t>
  </si>
  <si>
    <t>Ejecutar pruebas de integracion y de interfaz</t>
  </si>
  <si>
    <t>5.2.1</t>
  </si>
  <si>
    <t>5.2</t>
  </si>
  <si>
    <t>Prueba con juego de datos representativo del Programa</t>
  </si>
  <si>
    <t>02/11/2026</t>
  </si>
  <si>
    <t>04/11/2026</t>
  </si>
  <si>
    <t>1.3.5</t>
  </si>
  <si>
    <t>Preparar presentacion de plan de pruebas</t>
  </si>
  <si>
    <t>5.1.1; 5.2.1</t>
  </si>
  <si>
    <t>06/11/2026</t>
  </si>
  <si>
    <t>Inicio-inicio con el ultimo dia de 5.2.1 (solape de 1 dia)</t>
  </si>
  <si>
    <t>Entrega curso: plan de pruebas (10%)</t>
  </si>
  <si>
    <t>1.2.1</t>
  </si>
  <si>
    <t>1.2</t>
  </si>
  <si>
    <t>Elaborar matriz de riesgos y plan de mitigacion</t>
  </si>
  <si>
    <t>09/11/2026</t>
  </si>
  <si>
    <t>11/11/2026</t>
  </si>
  <si>
    <t>5.3.1</t>
  </si>
  <si>
    <t>5.3</t>
  </si>
  <si>
    <t>Correccion de defectos</t>
  </si>
  <si>
    <t>16/11/2026</t>
  </si>
  <si>
    <t>1.3.6</t>
  </si>
  <si>
    <t>Preparar presentacion de riesgos</t>
  </si>
  <si>
    <t>18/11/2026</t>
  </si>
  <si>
    <t>Entrega curso: riesgos (10%)</t>
  </si>
  <si>
    <t>6.1.2</t>
  </si>
  <si>
    <t>Despliegue en ambiente de demostracion</t>
  </si>
  <si>
    <t>23/11/2026</t>
  </si>
  <si>
    <t>25/11/2026</t>
  </si>
  <si>
    <t>6.3.1</t>
  </si>
  <si>
    <t>6.3</t>
  </si>
  <si>
    <t>Documento final (formato IEEE) y manual de usuario</t>
  </si>
  <si>
    <t>6.2.1</t>
  </si>
  <si>
    <t>6.2</t>
  </si>
  <si>
    <t>Capacitacion, ensayo y sustentacion final</t>
  </si>
  <si>
    <t>6.1.2; 6.3.1</t>
  </si>
  <si>
    <t>27/11/2026</t>
  </si>
  <si>
    <t>Inicio-inicio con el ultimo dia de 6.1.2 y 6.3.1 (solape de 1 dia) para llegar a tiempo a H5</t>
  </si>
  <si>
    <t>H5</t>
  </si>
  <si>
    <t>H5 Entrega y sustentacion final</t>
  </si>
  <si>
    <t>Cierre de notas del curso (100%)</t>
  </si>
  <si>
    <t>TOTAL PROYECTO</t>
  </si>
  <si>
    <t>Costos agrupados por EDT de segundo nivel</t>
  </si>
  <si>
    <t>EDT</t>
  </si>
  <si>
    <t>Paquete de trabajo</t>
  </si>
  <si>
    <t>Dias-actividad</t>
  </si>
  <si>
    <t>Costo</t>
  </si>
  <si>
    <t>% del total</t>
  </si>
  <si>
    <t>Gestion del Proyecto</t>
  </si>
  <si>
    <t>Ingenieria de Requisitos</t>
  </si>
  <si>
    <t>Diseno</t>
  </si>
  <si>
    <t>Construccion</t>
  </si>
  <si>
    <t>Pruebas y Verificacion</t>
  </si>
  <si>
    <t>Cierre y Despliegue</t>
  </si>
  <si>
    <t>COSTO NETO TOTAL DEL PROYECTO</t>
  </si>
  <si>
    <t>Costo por recurso (persona)</t>
  </si>
  <si>
    <t>TOTAL</t>
  </si>
  <si>
    <t>Nota: "Equipo completo" agrupa las actividades en que participan los cinco integrantes</t>
  </si>
  <si>
    <t>(levantamiento, especificacion, EDT, sustentaciones e integracion del prototipo), costeadas a 5 personas.</t>
  </si>
  <si>
    <t>Los hitos H1-H5 no consumen recursos: son puntos de control, no actividades.</t>
  </si>
  <si>
    <t>Optimista (O)</t>
  </si>
  <si>
    <t>Mas probable (M)</t>
  </si>
  <si>
    <t>Pesimista (P)</t>
  </si>
  <si>
    <t>Duracion esperada = (O+4M+P)/6</t>
  </si>
  <si>
    <t>Duracion usada</t>
  </si>
  <si>
    <t>Actividad / Responsable</t>
  </si>
  <si>
    <t>Aug</t>
  </si>
  <si>
    <t>Sep</t>
  </si>
  <si>
    <t>Oct</t>
  </si>
  <si>
    <t>Nov</t>
  </si>
  <si>
    <t>14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</si>
  <si>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</si>
  <si>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</si>
  <si>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</si>
  <si>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</si>
  <si>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</si>
  <si>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</si>
  <si>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</si>
  <si>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</si>
  <si>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</si>
  <si>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</si>
  <si>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31</t>
  </si>
  <si>
    <t>01</t>
  </si>
  <si>
    <t>02</t>
  </si>
  <si>
    <t>03</t>
  </si>
  <si>
    <t>04</t>
  </si>
  <si>
    <t>07</t>
  </si>
  <si>
    <t>08</t>
  </si>
  <si>
    <t>09</t>
  </si>
  <si>
    <t>10</t>
  </si>
  <si>
    <t>11</t>
  </si>
  <si>
    <t>15</t>
  </si>
  <si>
    <t>16</t>
  </si>
  <si>
    <t>22</t>
  </si>
  <si>
    <t>23</t>
  </si>
  <si>
    <t>29</t>
  </si>
  <si>
    <t>30</t>
  </si>
  <si>
    <t>05</t>
  </si>
  <si>
    <t>06</t>
  </si>
  <si>
    <t>12</t>
  </si>
  <si>
    <t>13</t>
  </si>
  <si>
    <t>Levantamiento de requisitos, normativa y restricciones (Equipo completo)</t>
  </si>
  <si>
    <t>Especificar requisitos funcionales y no funcionales (RF/RNF) (Equipo completo)</t>
  </si>
  <si>
    <t>Finalizar EDT y plan de trabajo (Equipo completo)</t>
  </si>
  <si>
    <t>Ajustar RF/RNF y validar criterios de aceptacion con el profesor (Laura)</t>
  </si>
  <si>
    <t>Elaborar cronograma y diagrama de Gantt (Juanita)</t>
  </si>
  <si>
    <t>Preparar y sustentar entrega semana 5 (Equipo completo)</t>
  </si>
  <si>
    <t>H1 Requisitos aprobados por el cliente (Equipo completo)</t>
  </si>
  <si>
    <t>H</t>
  </si>
  <si>
    <t>Arquitectura de software y decisiones de diseno (Santiago)</t>
  </si>
  <si>
    <t>Modelo de datos conceptual, logico y fisico (3FN) (Juanita)</t>
  </si>
  <si>
    <t>Diseno de interfaz (wireframes, tablero drag-and-drop) (Laura)</t>
  </si>
  <si>
    <t>Diseno del motor de reglas y del algoritmo voraz (Santiago)</t>
  </si>
  <si>
    <t>H2 Modelo de datos aprobado (Equipo completo)</t>
  </si>
  <si>
    <t>Preparar presentacion de fase de diseno (Hernando)</t>
  </si>
  <si>
    <t>Elaborar backlog priorizado (Hernando)</t>
  </si>
  <si>
    <t>Estimar costos del proyecto (horas x persona, recursos) (Jhonatan)</t>
  </si>
  <si>
    <t>BD fisica y datos semilla (Juanita)</t>
  </si>
  <si>
    <t>Preparar presentacion de backlog y costo (Laura)</t>
  </si>
  <si>
    <t>Backend: CRUD del dominio (parte 1) (Jhonatan)</t>
  </si>
  <si>
    <t>Generador de propuesta inicial (algoritmo voraz) (Hernando)</t>
  </si>
  <si>
    <t>Configurar infraestructura y pipeline CI/CD (Santiago)</t>
  </si>
  <si>
    <t>Frontend: tablero semanal drag-and-drop (Laura)</t>
  </si>
  <si>
    <t>Motor de validacion de restricciones duras (Santiago)</t>
  </si>
  <si>
    <t>Reportes, indicadores y exportacion (CSV/PDF) (Jhonatan)</t>
  </si>
  <si>
    <t>H3 Motor de reglas funcionando y probado (Equipo completo)</t>
  </si>
  <si>
    <t>Integrar y preparar sustentacion del prototipo (CI/CD) (Equipo completo)</t>
  </si>
  <si>
    <t>H4 Prototipo integrado navegable (Equipo completo)</t>
  </si>
  <si>
    <t>Elaborar plan de pruebas (Jhonatan)</t>
  </si>
  <si>
    <t>Ejecutar pruebas de integracion y de interfaz (Hernando)</t>
  </si>
  <si>
    <t>Prueba con juego de datos representativo del Programa (Juanita)</t>
  </si>
  <si>
    <t>Preparar presentacion de plan de pruebas (Laura)</t>
  </si>
  <si>
    <t>Elaborar matriz de riesgos y plan de mitigacion (Juanita)</t>
  </si>
  <si>
    <t>Correccion de defectos (Santiago)</t>
  </si>
  <si>
    <t>Preparar presentacion de riesgos (Hernando)</t>
  </si>
  <si>
    <t>Despliegue en ambiente de demostracion (Jhonatan)</t>
  </si>
  <si>
    <t>Documento final (formato IEEE) y manual de usuario (Juanita)</t>
  </si>
  <si>
    <t>Capacitacion, ensayo y sustentacion final (Laura)</t>
  </si>
  <si>
    <t>H5 Entrega y sustentacion final (Equipo completo)</t>
  </si>
  <si>
    <t>Leyenda:</t>
  </si>
  <si>
    <t>Actividad con algo de holgura</t>
  </si>
  <si>
    <t>Hito (H1-H5)</t>
  </si>
  <si>
    <t>Ya completado</t>
  </si>
  <si>
    <t>Barra que empieza justo donde termina otra = dependencia fin-inicio. Dos barras que arrancan la misma columna = solape inicio-inicio.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</si>
</sst>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2"/>
      <color rgb="FF1F4E3D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  <font>
      <i/>
      <sz val="9"/>
      <color rgb="FFC0392B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7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E699"/>
        <bgColor rgb="FFFFFFCC"/>
      </patternFill>
    </fill>
    <fill>
      <patternFill patternType="solid">
        <fgColor rgb="FFD5D8DC"/>
        <bgColor rgb="FFF4C7C3"/>
      </patternFill>
    </fill>
    <fill>
      <patternFill patternType="solid">
        <fgColor rgb="FFF4C7C3"/>
        <bgColor rgb="FFD5D8DC"/>
      </patternFill>
    </fill>
    <fill>
      <patternFill patternType="solid">
        <fgColor rgb="FFAAB7B8"/>
        <bgColor rgb="FFBBBBBB"/>
      </patternFill>
    </fill>
    <fill>
      <patternFill patternType="solid">
        <fgColor rgb="FFC0392B"/>
        <bgColor rgb="FF993366"/>
      </patternFill>
    </fill>
    <fill>
      <patternFill patternType="solid">
        <fgColor rgb="FFF1C40F"/>
        <bgColor rgb="FFFF9900"/>
      </patternFill>
    </fill>
    <fill>
      <patternFill patternType="solid">
        <fgColor rgb="FF2E86AB"/>
        <bgColor rgb="FF00808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2" fontId="4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64" fontId="5" fillId="3" borderId="1" xfId="0" applyNumberFormat="1" applyFont="1" applyFill="1" applyBorder="1" applyAlignment="1">
      <alignment vertical="top"/>
    </xf>
    <xf numFmtId="0" fontId="6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165" fontId="5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3" fontId="5" fillId="3" borderId="1" xfId="0" applyNumberFormat="1" applyFont="1" applyFill="1" applyBorder="1"/>
    <xf numFmtId="164" fontId="5" fillId="3" borderId="1" xfId="0" applyNumberFormat="1" applyFont="1" applyFill="1" applyBorder="1"/>
    <xf numFmtId="0" fontId="9" fillId="2" borderId="2" xfId="0" applyFont="1" applyFill="1" applyBorder="1"/>
    <xf numFmtId="0" fontId="10" fillId="2" borderId="2" xfId="0" applyFont="1" applyFill="1" applyBorder="1" applyAlignment="1">
      <alignment horizontal="left"/>
    </xf>
    <xf numFmtId="0" fontId="0" fillId="2" borderId="2" xfId="0" applyFill="1" applyBorder="1"/>
    <xf numFmtId="0" fontId="10" fillId="2" borderId="2" xfId="0" applyFont="1" applyFill="1" applyBorder="1" applyAlignment="1">
      <alignment horizontal="center"/>
    </xf>
    <xf numFmtId="0" fontId="11" fillId="0" borderId="2" xfId="0" applyFont="1" applyBorder="1"/>
    <xf numFmtId="0" fontId="0" fillId="6" borderId="2" xfId="0" applyFill="1" applyBorder="1"/>
    <xf numFmtId="0" fontId="0" fillId="7" borderId="2" xfId="0" applyFill="1" applyBorder="1"/>
    <xf numFmtId="0" fontId="12" fillId="0" borderId="2" xfId="0" applyFont="1" applyBorder="1"/>
    <xf numFmtId="0" fontId="13" fillId="8" borderId="2" xfId="0" applyFont="1" applyFill="1" applyBorder="1" applyAlignment="1">
      <alignment horizontal="center"/>
    </xf>
    <xf numFmtId="0" fontId="0" fillId="9" borderId="2" xfId="0" applyFill="1" applyBorder="1"/>
    <xf numFmtId="0" fontId="12" fillId="0" borderId="0" xfId="0" applyFont="1"/>
    <xf numFmtId="0" fontId="0" fillId="7" borderId="0" xfId="0" applyFill="1"/>
    <xf numFmtId="0" fontId="11" fillId="0" borderId="0" xfId="0" applyFont="1"/>
    <xf numFmtId="0" fontId="0" fillId="9" borderId="0" xfId="0" applyFill="1"/>
    <xf numFmtId="0" fontId="0" fillId="8" borderId="0" xfId="0" applyFill="1"/>
    <xf numFmtId="0" fontId="0" fillId="6" borderId="0" xfId="0" applyFill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BBBBBB"/>
      <rgbColor rgb="FFFF99CC"/>
      <rgbColor rgb="FFCC99FF"/>
      <rgbColor rgb="FFF4C7C3"/>
      <rgbColor rgb="FF3366FF"/>
      <rgbColor rgb="FF33CCCC"/>
      <rgbColor rgb="FF99CC00"/>
      <rgbColor rgb="FFF1C40F"/>
      <rgbColor rgb="FFFF9900"/>
      <rgbColor rgb="FFFF6600"/>
      <rgbColor rgb="FF666666"/>
      <rgbColor rgb="FFAAB7B8"/>
      <rgbColor rgb="FF003366"/>
      <rgbColor rgb="FF2E86AB"/>
      <rgbColor rgb="FF003300"/>
      <rgbColor rgb="FF333300"/>
      <rgbColor rgb="FFC0392B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Normal="100" workbookViewId="0"/>
  </sheetViews>
  <sheetFormatPr baseColWidth="10" defaultColWidth="8.7109375" defaultRowHeight="15" x14ac:dyDescent="0.25"/>
  <cols>
    <col min="1" max="1" width="46" customWidth="1"/>
    <col min="2" max="2" width="16" customWidth="1"/>
    <col min="3" max="3" width="62" customWidth="1"/>
  </cols>
  <sheetData>
    <row r="1" spans="1:3" ht="15.75" x14ac:dyDescent="0.25">
      <c r="A1" s="1" t="s">
        <v>0</v>
      </c>
    </row>
    <row r="3" spans="1:3" x14ac:dyDescent="0.25">
      <c r="A3" s="2" t="s">
        <v>1</v>
      </c>
      <c r="B3" s="2" t="s">
        <v>2</v>
      </c>
      <c r="C3" s="3" t="s">
        <v>3</v>
      </c>
    </row>
    <row r="4" spans="1:3" ht="25.5" x14ac:dyDescent="0.25">
      <c r="A4" s="4" t="s">
        <v>4</v>
      </c>
      <c r="B4" s="5">
        <v>4</v>
      </c>
      <c r="C4" s="6" t="s">
        <v>5</v>
      </c>
    </row>
    <row r="5" spans="1:3" x14ac:dyDescent="0.25">
      <c r="A5" s="4" t="s">
        <v>6</v>
      </c>
      <c r="B5" s="5">
        <v>5</v>
      </c>
      <c r="C5" s="6" t="s">
        <v>7</v>
      </c>
    </row>
    <row r="6" spans="1:3" ht="25.5" x14ac:dyDescent="0.25">
      <c r="A6" s="4" t="s">
        <v>8</v>
      </c>
      <c r="B6" s="7">
        <v>2820000</v>
      </c>
      <c r="C6" s="6" t="s">
        <v>9</v>
      </c>
    </row>
    <row r="7" spans="1:3" ht="25.5" x14ac:dyDescent="0.25">
      <c r="A7" s="4" t="s">
        <v>10</v>
      </c>
      <c r="B7" s="8">
        <v>1.5</v>
      </c>
      <c r="C7" s="6" t="s">
        <v>11</v>
      </c>
    </row>
    <row r="8" spans="1:3" x14ac:dyDescent="0.25">
      <c r="A8" s="4" t="s">
        <v>12</v>
      </c>
      <c r="B8" s="9">
        <f>B6*B7</f>
        <v>4230000</v>
      </c>
      <c r="C8" s="6" t="s">
        <v>13</v>
      </c>
    </row>
    <row r="9" spans="1:3" ht="25.5" x14ac:dyDescent="0.25">
      <c r="A9" s="4" t="s">
        <v>14</v>
      </c>
      <c r="B9" s="5">
        <v>190</v>
      </c>
      <c r="C9" s="6" t="s">
        <v>15</v>
      </c>
    </row>
    <row r="10" spans="1:3" x14ac:dyDescent="0.25">
      <c r="A10" s="10" t="s">
        <v>16</v>
      </c>
      <c r="B10" s="11">
        <f>B8/B9</f>
        <v>22263.157894736843</v>
      </c>
      <c r="C10" s="6" t="s">
        <v>17</v>
      </c>
    </row>
    <row r="11" spans="1:3" ht="25.5" x14ac:dyDescent="0.25">
      <c r="A11" s="4" t="s">
        <v>18</v>
      </c>
      <c r="B11" s="9">
        <v>0</v>
      </c>
      <c r="C11" s="6" t="s">
        <v>19</v>
      </c>
    </row>
    <row r="13" spans="1:3" x14ac:dyDescent="0.25">
      <c r="A13" s="12" t="s">
        <v>20</v>
      </c>
    </row>
    <row r="14" spans="1:3" x14ac:dyDescent="0.25">
      <c r="A14" s="1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abSelected="1" zoomScale="90" zoomScaleNormal="90" workbookViewId="0">
      <pane ySplit="1" topLeftCell="A2" activePane="bottomLeft" state="frozen"/>
      <selection pane="bottomLeft" activeCell="Q8" sqref="Q8"/>
    </sheetView>
  </sheetViews>
  <sheetFormatPr baseColWidth="10" defaultColWidth="8.7109375" defaultRowHeight="15" x14ac:dyDescent="0.25"/>
  <cols>
    <col min="1" max="1" width="9" customWidth="1"/>
    <col min="2" max="2" width="10" customWidth="1"/>
    <col min="3" max="3" width="42" customWidth="1"/>
    <col min="4" max="4" width="16" customWidth="1"/>
    <col min="5" max="5" width="10" customWidth="1"/>
    <col min="6" max="6" width="20" customWidth="1"/>
    <col min="7" max="8" width="11" customWidth="1"/>
    <col min="9" max="9" width="7" customWidth="1"/>
    <col min="10" max="10" width="9" customWidth="1"/>
    <col min="11" max="11" width="32" customWidth="1"/>
    <col min="12" max="12" width="28" customWidth="1"/>
    <col min="13" max="13" width="15" customWidth="1"/>
    <col min="14" max="14" width="12" customWidth="1"/>
    <col min="15" max="15" width="13" customWidth="1"/>
    <col min="16" max="16" width="18" customWidth="1"/>
  </cols>
  <sheetData>
    <row r="1" spans="1:16" ht="38.25" customHeight="1" x14ac:dyDescent="0.25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4" t="s">
        <v>34</v>
      </c>
      <c r="N1" s="14" t="s">
        <v>35</v>
      </c>
      <c r="O1" s="14" t="s">
        <v>36</v>
      </c>
      <c r="P1" s="14" t="s">
        <v>37</v>
      </c>
    </row>
    <row r="2" spans="1:16" ht="39" customHeight="1" x14ac:dyDescent="0.25">
      <c r="A2" s="15" t="s">
        <v>38</v>
      </c>
      <c r="B2" s="15" t="s">
        <v>39</v>
      </c>
      <c r="C2" s="16" t="s">
        <v>40</v>
      </c>
      <c r="D2" s="15" t="s">
        <v>41</v>
      </c>
      <c r="E2" s="15">
        <v>4</v>
      </c>
      <c r="F2" s="15" t="s">
        <v>42</v>
      </c>
      <c r="G2" s="15" t="s">
        <v>43</v>
      </c>
      <c r="H2" s="15" t="s">
        <v>44</v>
      </c>
      <c r="I2" s="15" t="s">
        <v>45</v>
      </c>
      <c r="J2" s="15" t="s">
        <v>46</v>
      </c>
      <c r="K2" s="16" t="s">
        <v>47</v>
      </c>
      <c r="L2" s="16"/>
      <c r="M2" s="17">
        <v>2</v>
      </c>
      <c r="N2" s="17">
        <f>IF($D2="Equipo completo",Supuestos!$B$5,1)</f>
        <v>5</v>
      </c>
      <c r="O2" s="18">
        <f>IF(ISNUMBER($E2),$E2*$N2*Supuestos!$B$4,0)</f>
        <v>80</v>
      </c>
      <c r="P2" s="19">
        <f>$O2*Supuestos!$B$10</f>
        <v>1781052.6315789474</v>
      </c>
    </row>
    <row r="3" spans="1:16" ht="39" customHeight="1" x14ac:dyDescent="0.25">
      <c r="A3" s="15" t="s">
        <v>48</v>
      </c>
      <c r="B3" s="15" t="s">
        <v>49</v>
      </c>
      <c r="C3" s="16" t="s">
        <v>50</v>
      </c>
      <c r="D3" s="15" t="s">
        <v>41</v>
      </c>
      <c r="E3" s="15">
        <v>5</v>
      </c>
      <c r="F3" s="15" t="s">
        <v>38</v>
      </c>
      <c r="G3" s="15" t="s">
        <v>51</v>
      </c>
      <c r="H3" s="15" t="s">
        <v>52</v>
      </c>
      <c r="I3" s="15" t="s">
        <v>45</v>
      </c>
      <c r="J3" s="15" t="s">
        <v>46</v>
      </c>
      <c r="K3" s="16" t="s">
        <v>47</v>
      </c>
      <c r="L3" s="16"/>
      <c r="M3" s="17">
        <v>2</v>
      </c>
      <c r="N3" s="17">
        <f>IF($D3="Equipo completo",Supuestos!$B$5,1)</f>
        <v>5</v>
      </c>
      <c r="O3" s="18">
        <f>IF(ISNUMBER($E3),$E3*$N3*Supuestos!$B$4,0)</f>
        <v>100</v>
      </c>
      <c r="P3" s="19">
        <f>$O3*Supuestos!$B$10</f>
        <v>2226315.7894736845</v>
      </c>
    </row>
    <row r="4" spans="1:16" x14ac:dyDescent="0.25">
      <c r="A4" s="20" t="s">
        <v>53</v>
      </c>
      <c r="B4" s="20" t="s">
        <v>54</v>
      </c>
      <c r="C4" s="21" t="s">
        <v>55</v>
      </c>
      <c r="D4" s="20" t="s">
        <v>41</v>
      </c>
      <c r="E4" s="20">
        <v>3</v>
      </c>
      <c r="F4" s="20" t="s">
        <v>42</v>
      </c>
      <c r="G4" s="20" t="s">
        <v>56</v>
      </c>
      <c r="H4" s="20" t="s">
        <v>57</v>
      </c>
      <c r="I4" s="20" t="s">
        <v>45</v>
      </c>
      <c r="J4" s="20" t="s">
        <v>46</v>
      </c>
      <c r="K4" s="21"/>
      <c r="L4" s="21"/>
      <c r="M4" s="22">
        <v>1</v>
      </c>
      <c r="N4" s="22">
        <f>IF($D4="Equipo completo",Supuestos!$B$5,1)</f>
        <v>5</v>
      </c>
      <c r="O4" s="23">
        <f>IF(ISNUMBER($E4),$E4*$N4*Supuestos!$B$4,0)</f>
        <v>60</v>
      </c>
      <c r="P4" s="24">
        <f>$O4*Supuestos!$B$10</f>
        <v>1335789.4736842106</v>
      </c>
    </row>
    <row r="5" spans="1:16" ht="26.25" customHeight="1" x14ac:dyDescent="0.25">
      <c r="A5" s="20" t="s">
        <v>58</v>
      </c>
      <c r="B5" s="20" t="s">
        <v>59</v>
      </c>
      <c r="C5" s="21" t="s">
        <v>60</v>
      </c>
      <c r="D5" s="20" t="s">
        <v>61</v>
      </c>
      <c r="E5" s="20">
        <v>3</v>
      </c>
      <c r="F5" s="20" t="s">
        <v>48</v>
      </c>
      <c r="G5" s="20" t="s">
        <v>56</v>
      </c>
      <c r="H5" s="20" t="s">
        <v>57</v>
      </c>
      <c r="I5" s="20" t="s">
        <v>45</v>
      </c>
      <c r="J5" s="20" t="s">
        <v>46</v>
      </c>
      <c r="K5" s="21"/>
      <c r="L5" s="21"/>
      <c r="M5" s="22">
        <v>2</v>
      </c>
      <c r="N5" s="22">
        <f>IF($D5="Equipo completo",Supuestos!$B$5,1)</f>
        <v>1</v>
      </c>
      <c r="O5" s="23">
        <f>IF(ISNUMBER($E5),$E5*$N5*Supuestos!$B$4,0)</f>
        <v>12</v>
      </c>
      <c r="P5" s="24">
        <f>$O5*Supuestos!$B$10</f>
        <v>267157.89473684214</v>
      </c>
    </row>
    <row r="6" spans="1:16" x14ac:dyDescent="0.25">
      <c r="A6" s="20" t="s">
        <v>62</v>
      </c>
      <c r="B6" s="20" t="s">
        <v>54</v>
      </c>
      <c r="C6" s="21" t="s">
        <v>63</v>
      </c>
      <c r="D6" s="20" t="s">
        <v>64</v>
      </c>
      <c r="E6" s="20">
        <v>3</v>
      </c>
      <c r="F6" s="20" t="s">
        <v>65</v>
      </c>
      <c r="G6" s="20" t="s">
        <v>66</v>
      </c>
      <c r="H6" s="20" t="s">
        <v>67</v>
      </c>
      <c r="I6" s="20" t="s">
        <v>45</v>
      </c>
      <c r="J6" s="20" t="s">
        <v>46</v>
      </c>
      <c r="K6" s="21"/>
      <c r="L6" s="21"/>
      <c r="M6" s="22">
        <v>1</v>
      </c>
      <c r="N6" s="22">
        <f>IF($D6="Equipo completo",Supuestos!$B$5,1)</f>
        <v>1</v>
      </c>
      <c r="O6" s="23">
        <f>IF(ISNUMBER($E6),$E6*$N6*Supuestos!$B$4,0)</f>
        <v>12</v>
      </c>
      <c r="P6" s="24">
        <f>$O6*Supuestos!$B$10</f>
        <v>267157.89473684214</v>
      </c>
    </row>
    <row r="7" spans="1:16" ht="51.75" customHeight="1" x14ac:dyDescent="0.25">
      <c r="A7" s="20" t="s">
        <v>68</v>
      </c>
      <c r="B7" s="20" t="s">
        <v>69</v>
      </c>
      <c r="C7" s="21" t="s">
        <v>70</v>
      </c>
      <c r="D7" s="20" t="s">
        <v>41</v>
      </c>
      <c r="E7" s="20">
        <v>3</v>
      </c>
      <c r="F7" s="20" t="s">
        <v>62</v>
      </c>
      <c r="G7" s="20" t="s">
        <v>67</v>
      </c>
      <c r="H7" s="20" t="s">
        <v>71</v>
      </c>
      <c r="I7" s="20" t="s">
        <v>45</v>
      </c>
      <c r="J7" s="20" t="s">
        <v>46</v>
      </c>
      <c r="K7" s="21" t="s">
        <v>72</v>
      </c>
      <c r="L7" s="21"/>
      <c r="M7" s="22">
        <v>1</v>
      </c>
      <c r="N7" s="22">
        <f>IF($D7="Equipo completo",Supuestos!$B$5,1)</f>
        <v>5</v>
      </c>
      <c r="O7" s="23">
        <f>IF(ISNUMBER($E7),$E7*$N7*Supuestos!$B$4,0)</f>
        <v>60</v>
      </c>
      <c r="P7" s="24">
        <f>$O7*Supuestos!$B$10</f>
        <v>1335789.4736842106</v>
      </c>
    </row>
    <row r="8" spans="1:16" ht="39" customHeight="1" x14ac:dyDescent="0.25">
      <c r="A8" s="25" t="s">
        <v>73</v>
      </c>
      <c r="B8" s="25" t="s">
        <v>30</v>
      </c>
      <c r="C8" s="26" t="s">
        <v>74</v>
      </c>
      <c r="D8" s="25" t="s">
        <v>41</v>
      </c>
      <c r="E8" s="25" t="s">
        <v>42</v>
      </c>
      <c r="F8" s="25" t="s">
        <v>68</v>
      </c>
      <c r="G8" s="25" t="s">
        <v>71</v>
      </c>
      <c r="H8" s="25" t="s">
        <v>71</v>
      </c>
      <c r="I8" s="25" t="s">
        <v>46</v>
      </c>
      <c r="J8" s="25" t="s">
        <v>46</v>
      </c>
      <c r="K8" s="26"/>
      <c r="L8" s="26" t="s">
        <v>75</v>
      </c>
      <c r="M8" s="27" t="s">
        <v>30</v>
      </c>
      <c r="N8" s="27" t="s">
        <v>42</v>
      </c>
      <c r="O8" s="28">
        <v>0</v>
      </c>
      <c r="P8" s="29">
        <f>$O8*Supuestos!$B$10</f>
        <v>0</v>
      </c>
    </row>
    <row r="9" spans="1:16" x14ac:dyDescent="0.25">
      <c r="A9" s="30" t="s">
        <v>76</v>
      </c>
      <c r="B9" s="30" t="s">
        <v>77</v>
      </c>
      <c r="C9" s="31" t="s">
        <v>78</v>
      </c>
      <c r="D9" s="30" t="s">
        <v>79</v>
      </c>
      <c r="E9" s="30">
        <v>4</v>
      </c>
      <c r="F9" s="30" t="s">
        <v>73</v>
      </c>
      <c r="G9" s="30" t="s">
        <v>80</v>
      </c>
      <c r="H9" s="30" t="s">
        <v>81</v>
      </c>
      <c r="I9" s="30" t="s">
        <v>45</v>
      </c>
      <c r="J9" s="30" t="s">
        <v>45</v>
      </c>
      <c r="K9" s="31"/>
      <c r="L9" s="31"/>
      <c r="M9" s="32">
        <v>3</v>
      </c>
      <c r="N9" s="32">
        <f>IF($D9="Equipo completo",Supuestos!$B$5,1)</f>
        <v>1</v>
      </c>
      <c r="O9" s="33">
        <f>IF(ISNUMBER($E9),$E9*$N9*Supuestos!$B$4,0)</f>
        <v>16</v>
      </c>
      <c r="P9" s="34">
        <f>$O9*Supuestos!$B$10</f>
        <v>356210.5263157895</v>
      </c>
    </row>
    <row r="10" spans="1:16" ht="26.25" customHeight="1" x14ac:dyDescent="0.25">
      <c r="A10" s="20" t="s">
        <v>82</v>
      </c>
      <c r="B10" s="20" t="s">
        <v>83</v>
      </c>
      <c r="C10" s="21" t="s">
        <v>84</v>
      </c>
      <c r="D10" s="20" t="s">
        <v>64</v>
      </c>
      <c r="E10" s="20">
        <v>6</v>
      </c>
      <c r="F10" s="20" t="s">
        <v>73</v>
      </c>
      <c r="G10" s="20" t="s">
        <v>80</v>
      </c>
      <c r="H10" s="20" t="s">
        <v>85</v>
      </c>
      <c r="I10" s="20" t="s">
        <v>45</v>
      </c>
      <c r="J10" s="20" t="s">
        <v>46</v>
      </c>
      <c r="K10" s="21"/>
      <c r="L10" s="21"/>
      <c r="M10" s="22">
        <v>3</v>
      </c>
      <c r="N10" s="22">
        <f>IF($D10="Equipo completo",Supuestos!$B$5,1)</f>
        <v>1</v>
      </c>
      <c r="O10" s="23">
        <f>IF(ISNUMBER($E10),$E10*$N10*Supuestos!$B$4,0)</f>
        <v>24</v>
      </c>
      <c r="P10" s="24">
        <f>$O10*Supuestos!$B$10</f>
        <v>534315.78947368427</v>
      </c>
    </row>
    <row r="11" spans="1:16" ht="26.25" customHeight="1" x14ac:dyDescent="0.25">
      <c r="A11" s="30" t="s">
        <v>86</v>
      </c>
      <c r="B11" s="30" t="s">
        <v>87</v>
      </c>
      <c r="C11" s="31" t="s">
        <v>88</v>
      </c>
      <c r="D11" s="30" t="s">
        <v>61</v>
      </c>
      <c r="E11" s="30">
        <v>3</v>
      </c>
      <c r="F11" s="30" t="s">
        <v>76</v>
      </c>
      <c r="G11" s="30" t="s">
        <v>89</v>
      </c>
      <c r="H11" s="30" t="s">
        <v>90</v>
      </c>
      <c r="I11" s="30" t="s">
        <v>45</v>
      </c>
      <c r="J11" s="30" t="s">
        <v>45</v>
      </c>
      <c r="K11" s="31"/>
      <c r="L11" s="31"/>
      <c r="M11" s="32">
        <v>3</v>
      </c>
      <c r="N11" s="32">
        <f>IF($D11="Equipo completo",Supuestos!$B$5,1)</f>
        <v>1</v>
      </c>
      <c r="O11" s="33">
        <f>IF(ISNUMBER($E11),$E11*$N11*Supuestos!$B$4,0)</f>
        <v>12</v>
      </c>
      <c r="P11" s="34">
        <f>$O11*Supuestos!$B$10</f>
        <v>267157.89473684214</v>
      </c>
    </row>
    <row r="12" spans="1:16" x14ac:dyDescent="0.25">
      <c r="A12" s="30" t="s">
        <v>91</v>
      </c>
      <c r="B12" s="30" t="s">
        <v>92</v>
      </c>
      <c r="C12" s="31" t="s">
        <v>93</v>
      </c>
      <c r="D12" s="30" t="s">
        <v>79</v>
      </c>
      <c r="E12" s="30">
        <v>4</v>
      </c>
      <c r="F12" s="30" t="s">
        <v>76</v>
      </c>
      <c r="G12" s="30" t="s">
        <v>89</v>
      </c>
      <c r="H12" s="30" t="s">
        <v>94</v>
      </c>
      <c r="I12" s="30" t="s">
        <v>45</v>
      </c>
      <c r="J12" s="30" t="s">
        <v>45</v>
      </c>
      <c r="K12" s="31"/>
      <c r="L12" s="31"/>
      <c r="M12" s="32">
        <v>3</v>
      </c>
      <c r="N12" s="32">
        <f>IF($D12="Equipo completo",Supuestos!$B$5,1)</f>
        <v>1</v>
      </c>
      <c r="O12" s="33">
        <f>IF(ISNUMBER($E12),$E12*$N12*Supuestos!$B$4,0)</f>
        <v>16</v>
      </c>
      <c r="P12" s="34">
        <f>$O12*Supuestos!$B$10</f>
        <v>356210.5263157895</v>
      </c>
    </row>
    <row r="13" spans="1:16" x14ac:dyDescent="0.25">
      <c r="A13" s="25" t="s">
        <v>95</v>
      </c>
      <c r="B13" s="25" t="s">
        <v>30</v>
      </c>
      <c r="C13" s="26" t="s">
        <v>96</v>
      </c>
      <c r="D13" s="25" t="s">
        <v>41</v>
      </c>
      <c r="E13" s="25" t="s">
        <v>42</v>
      </c>
      <c r="F13" s="25" t="s">
        <v>82</v>
      </c>
      <c r="G13" s="25" t="s">
        <v>90</v>
      </c>
      <c r="H13" s="25" t="s">
        <v>90</v>
      </c>
      <c r="I13" s="25" t="s">
        <v>46</v>
      </c>
      <c r="J13" s="25" t="s">
        <v>46</v>
      </c>
      <c r="K13" s="26"/>
      <c r="L13" s="26"/>
      <c r="M13" s="27" t="s">
        <v>30</v>
      </c>
      <c r="N13" s="27" t="s">
        <v>42</v>
      </c>
      <c r="O13" s="28">
        <v>0</v>
      </c>
      <c r="P13" s="29">
        <f>$O13*Supuestos!$B$10</f>
        <v>0</v>
      </c>
    </row>
    <row r="14" spans="1:16" ht="51.75" customHeight="1" x14ac:dyDescent="0.25">
      <c r="A14" s="30" t="s">
        <v>97</v>
      </c>
      <c r="B14" s="30" t="s">
        <v>69</v>
      </c>
      <c r="C14" s="31" t="s">
        <v>98</v>
      </c>
      <c r="D14" s="30" t="s">
        <v>99</v>
      </c>
      <c r="E14" s="30">
        <v>3</v>
      </c>
      <c r="F14" s="30" t="s">
        <v>100</v>
      </c>
      <c r="G14" s="30" t="s">
        <v>94</v>
      </c>
      <c r="H14" s="30" t="s">
        <v>101</v>
      </c>
      <c r="I14" s="30" t="s">
        <v>45</v>
      </c>
      <c r="J14" s="30" t="s">
        <v>45</v>
      </c>
      <c r="K14" s="31" t="s">
        <v>102</v>
      </c>
      <c r="L14" s="31" t="s">
        <v>103</v>
      </c>
      <c r="M14" s="32">
        <v>1</v>
      </c>
      <c r="N14" s="32">
        <f>IF($D14="Equipo completo",Supuestos!$B$5,1)</f>
        <v>1</v>
      </c>
      <c r="O14" s="33">
        <f>IF(ISNUMBER($E14),$E14*$N14*Supuestos!$B$4,0)</f>
        <v>12</v>
      </c>
      <c r="P14" s="34">
        <f>$O14*Supuestos!$B$10</f>
        <v>267157.89473684214</v>
      </c>
    </row>
    <row r="15" spans="1:16" x14ac:dyDescent="0.25">
      <c r="A15" s="30" t="s">
        <v>104</v>
      </c>
      <c r="B15" s="30" t="s">
        <v>54</v>
      </c>
      <c r="C15" s="31" t="s">
        <v>105</v>
      </c>
      <c r="D15" s="30" t="s">
        <v>99</v>
      </c>
      <c r="E15" s="30">
        <v>4</v>
      </c>
      <c r="F15" s="30" t="s">
        <v>73</v>
      </c>
      <c r="G15" s="30" t="s">
        <v>106</v>
      </c>
      <c r="H15" s="30" t="s">
        <v>107</v>
      </c>
      <c r="I15" s="30" t="s">
        <v>45</v>
      </c>
      <c r="J15" s="30" t="s">
        <v>45</v>
      </c>
      <c r="K15" s="31"/>
      <c r="L15" s="31"/>
      <c r="M15" s="32">
        <v>1</v>
      </c>
      <c r="N15" s="32">
        <f>IF($D15="Equipo completo",Supuestos!$B$5,1)</f>
        <v>1</v>
      </c>
      <c r="O15" s="33">
        <f>IF(ISNUMBER($E15),$E15*$N15*Supuestos!$B$4,0)</f>
        <v>16</v>
      </c>
      <c r="P15" s="34">
        <f>$O15*Supuestos!$B$10</f>
        <v>356210.5263157895</v>
      </c>
    </row>
    <row r="16" spans="1:16" ht="26.25" customHeight="1" x14ac:dyDescent="0.25">
      <c r="A16" s="20" t="s">
        <v>108</v>
      </c>
      <c r="B16" s="20" t="s">
        <v>54</v>
      </c>
      <c r="C16" s="21" t="s">
        <v>109</v>
      </c>
      <c r="D16" s="20" t="s">
        <v>110</v>
      </c>
      <c r="E16" s="20">
        <v>4</v>
      </c>
      <c r="F16" s="20" t="s">
        <v>73</v>
      </c>
      <c r="G16" s="20" t="s">
        <v>106</v>
      </c>
      <c r="H16" s="20" t="s">
        <v>107</v>
      </c>
      <c r="I16" s="20" t="s">
        <v>45</v>
      </c>
      <c r="J16" s="20" t="s">
        <v>46</v>
      </c>
      <c r="K16" s="21"/>
      <c r="L16" s="21"/>
      <c r="M16" s="22">
        <v>1</v>
      </c>
      <c r="N16" s="22">
        <f>IF($D16="Equipo completo",Supuestos!$B$5,1)</f>
        <v>1</v>
      </c>
      <c r="O16" s="23">
        <f>IF(ISNUMBER($E16),$E16*$N16*Supuestos!$B$4,0)</f>
        <v>16</v>
      </c>
      <c r="P16" s="24">
        <f>$O16*Supuestos!$B$10</f>
        <v>356210.5263157895</v>
      </c>
    </row>
    <row r="17" spans="1:16" x14ac:dyDescent="0.25">
      <c r="A17" s="20" t="s">
        <v>111</v>
      </c>
      <c r="B17" s="20" t="s">
        <v>112</v>
      </c>
      <c r="C17" s="21" t="s">
        <v>113</v>
      </c>
      <c r="D17" s="20" t="s">
        <v>64</v>
      </c>
      <c r="E17" s="20">
        <v>4</v>
      </c>
      <c r="F17" s="20" t="s">
        <v>95</v>
      </c>
      <c r="G17" s="20" t="s">
        <v>106</v>
      </c>
      <c r="H17" s="20" t="s">
        <v>107</v>
      </c>
      <c r="I17" s="20" t="s">
        <v>45</v>
      </c>
      <c r="J17" s="20" t="s">
        <v>46</v>
      </c>
      <c r="K17" s="21"/>
      <c r="L17" s="21"/>
      <c r="M17" s="22">
        <v>4</v>
      </c>
      <c r="N17" s="22">
        <f>IF($D17="Equipo completo",Supuestos!$B$5,1)</f>
        <v>1</v>
      </c>
      <c r="O17" s="23">
        <f>IF(ISNUMBER($E17),$E17*$N17*Supuestos!$B$4,0)</f>
        <v>16</v>
      </c>
      <c r="P17" s="24">
        <f>$O17*Supuestos!$B$10</f>
        <v>356210.5263157895</v>
      </c>
    </row>
    <row r="18" spans="1:16" ht="26.25" customHeight="1" x14ac:dyDescent="0.25">
      <c r="A18" s="30" t="s">
        <v>114</v>
      </c>
      <c r="B18" s="30" t="s">
        <v>69</v>
      </c>
      <c r="C18" s="31" t="s">
        <v>115</v>
      </c>
      <c r="D18" s="30" t="s">
        <v>61</v>
      </c>
      <c r="E18" s="30">
        <v>3</v>
      </c>
      <c r="F18" s="30" t="s">
        <v>116</v>
      </c>
      <c r="G18" s="30" t="s">
        <v>117</v>
      </c>
      <c r="H18" s="30" t="s">
        <v>118</v>
      </c>
      <c r="I18" s="30" t="s">
        <v>45</v>
      </c>
      <c r="J18" s="30" t="s">
        <v>45</v>
      </c>
      <c r="K18" s="31"/>
      <c r="L18" s="31" t="s">
        <v>119</v>
      </c>
      <c r="M18" s="32">
        <v>1</v>
      </c>
      <c r="N18" s="32">
        <f>IF($D18="Equipo completo",Supuestos!$B$5,1)</f>
        <v>1</v>
      </c>
      <c r="O18" s="33">
        <f>IF(ISNUMBER($E18),$E18*$N18*Supuestos!$B$4,0)</f>
        <v>12</v>
      </c>
      <c r="P18" s="34">
        <f>$O18*Supuestos!$B$10</f>
        <v>267157.89473684214</v>
      </c>
    </row>
    <row r="19" spans="1:16" x14ac:dyDescent="0.25">
      <c r="A19" s="20" t="s">
        <v>120</v>
      </c>
      <c r="B19" s="20" t="s">
        <v>121</v>
      </c>
      <c r="C19" s="21" t="s">
        <v>122</v>
      </c>
      <c r="D19" s="20" t="s">
        <v>110</v>
      </c>
      <c r="E19" s="20">
        <v>8</v>
      </c>
      <c r="F19" s="20" t="s">
        <v>123</v>
      </c>
      <c r="G19" s="20" t="s">
        <v>117</v>
      </c>
      <c r="H19" s="20" t="s">
        <v>124</v>
      </c>
      <c r="I19" s="20" t="s">
        <v>45</v>
      </c>
      <c r="J19" s="20" t="s">
        <v>46</v>
      </c>
      <c r="K19" s="21"/>
      <c r="L19" s="21"/>
      <c r="M19" s="22">
        <v>4</v>
      </c>
      <c r="N19" s="22">
        <f>IF($D19="Equipo completo",Supuestos!$B$5,1)</f>
        <v>1</v>
      </c>
      <c r="O19" s="23">
        <f>IF(ISNUMBER($E19),$E19*$N19*Supuestos!$B$4,0)</f>
        <v>32</v>
      </c>
      <c r="P19" s="24">
        <f>$O19*Supuestos!$B$10</f>
        <v>712421.05263157899</v>
      </c>
    </row>
    <row r="20" spans="1:16" ht="51.75" customHeight="1" x14ac:dyDescent="0.25">
      <c r="A20" s="30" t="s">
        <v>125</v>
      </c>
      <c r="B20" s="30" t="s">
        <v>126</v>
      </c>
      <c r="C20" s="31" t="s">
        <v>127</v>
      </c>
      <c r="D20" s="30" t="s">
        <v>99</v>
      </c>
      <c r="E20" s="30">
        <v>7</v>
      </c>
      <c r="F20" s="30" t="s">
        <v>91</v>
      </c>
      <c r="G20" s="30" t="s">
        <v>117</v>
      </c>
      <c r="H20" s="30" t="s">
        <v>128</v>
      </c>
      <c r="I20" s="30" t="s">
        <v>45</v>
      </c>
      <c r="J20" s="30" t="s">
        <v>45</v>
      </c>
      <c r="K20" s="31" t="s">
        <v>129</v>
      </c>
      <c r="L20" s="31"/>
      <c r="M20" s="32">
        <v>4</v>
      </c>
      <c r="N20" s="32">
        <f>IF($D20="Equipo completo",Supuestos!$B$5,1)</f>
        <v>1</v>
      </c>
      <c r="O20" s="33">
        <f>IF(ISNUMBER($E20),$E20*$N20*Supuestos!$B$4,0)</f>
        <v>28</v>
      </c>
      <c r="P20" s="34">
        <f>$O20*Supuestos!$B$10</f>
        <v>623368.42105263157</v>
      </c>
    </row>
    <row r="21" spans="1:16" x14ac:dyDescent="0.25">
      <c r="A21" s="30" t="s">
        <v>130</v>
      </c>
      <c r="B21" s="30" t="s">
        <v>131</v>
      </c>
      <c r="C21" s="31" t="s">
        <v>132</v>
      </c>
      <c r="D21" s="30" t="s">
        <v>79</v>
      </c>
      <c r="E21" s="30">
        <v>5</v>
      </c>
      <c r="F21" s="30" t="s">
        <v>111</v>
      </c>
      <c r="G21" s="30" t="s">
        <v>117</v>
      </c>
      <c r="H21" s="30" t="s">
        <v>133</v>
      </c>
      <c r="I21" s="30" t="s">
        <v>45</v>
      </c>
      <c r="J21" s="30" t="s">
        <v>45</v>
      </c>
      <c r="K21" s="31"/>
      <c r="L21" s="31"/>
      <c r="M21" s="32">
        <v>6</v>
      </c>
      <c r="N21" s="32">
        <f>IF($D21="Equipo completo",Supuestos!$B$5,1)</f>
        <v>1</v>
      </c>
      <c r="O21" s="33">
        <f>IF(ISNUMBER($E21),$E21*$N21*Supuestos!$B$4,0)</f>
        <v>20</v>
      </c>
      <c r="P21" s="34">
        <f>$O21*Supuestos!$B$10</f>
        <v>445263.15789473685</v>
      </c>
    </row>
    <row r="22" spans="1:16" ht="39" customHeight="1" x14ac:dyDescent="0.25">
      <c r="A22" s="20" t="s">
        <v>134</v>
      </c>
      <c r="B22" s="20" t="s">
        <v>135</v>
      </c>
      <c r="C22" s="21" t="s">
        <v>136</v>
      </c>
      <c r="D22" s="20" t="s">
        <v>61</v>
      </c>
      <c r="E22" s="20">
        <v>8</v>
      </c>
      <c r="F22" s="20" t="s">
        <v>120</v>
      </c>
      <c r="G22" s="20" t="s">
        <v>133</v>
      </c>
      <c r="H22" s="20" t="s">
        <v>137</v>
      </c>
      <c r="I22" s="20" t="s">
        <v>45</v>
      </c>
      <c r="J22" s="20" t="s">
        <v>46</v>
      </c>
      <c r="K22" s="21" t="s">
        <v>138</v>
      </c>
      <c r="L22" s="21"/>
      <c r="M22" s="22">
        <v>4</v>
      </c>
      <c r="N22" s="22">
        <f>IF($D22="Equipo completo",Supuestos!$B$5,1)</f>
        <v>1</v>
      </c>
      <c r="O22" s="23">
        <f>IF(ISNUMBER($E22),$E22*$N22*Supuestos!$B$4,0)</f>
        <v>32</v>
      </c>
      <c r="P22" s="24">
        <f>$O22*Supuestos!$B$10</f>
        <v>712421.05263157899</v>
      </c>
    </row>
    <row r="23" spans="1:16" x14ac:dyDescent="0.25">
      <c r="A23" s="20" t="s">
        <v>139</v>
      </c>
      <c r="B23" s="20" t="s">
        <v>140</v>
      </c>
      <c r="C23" s="21" t="s">
        <v>141</v>
      </c>
      <c r="D23" s="20" t="s">
        <v>79</v>
      </c>
      <c r="E23" s="20">
        <v>4</v>
      </c>
      <c r="F23" s="20" t="s">
        <v>142</v>
      </c>
      <c r="G23" s="20" t="s">
        <v>143</v>
      </c>
      <c r="H23" s="20" t="s">
        <v>137</v>
      </c>
      <c r="I23" s="20" t="s">
        <v>45</v>
      </c>
      <c r="J23" s="20" t="s">
        <v>46</v>
      </c>
      <c r="K23" s="21"/>
      <c r="L23" s="21"/>
      <c r="M23" s="22">
        <v>4</v>
      </c>
      <c r="N23" s="22">
        <f>IF($D23="Equipo completo",Supuestos!$B$5,1)</f>
        <v>1</v>
      </c>
      <c r="O23" s="23">
        <f>IF(ISNUMBER($E23),$E23*$N23*Supuestos!$B$4,0)</f>
        <v>16</v>
      </c>
      <c r="P23" s="24">
        <f>$O23*Supuestos!$B$10</f>
        <v>356210.5263157895</v>
      </c>
    </row>
    <row r="24" spans="1:16" x14ac:dyDescent="0.25">
      <c r="A24" s="30" t="s">
        <v>144</v>
      </c>
      <c r="B24" s="30" t="s">
        <v>145</v>
      </c>
      <c r="C24" s="31" t="s">
        <v>146</v>
      </c>
      <c r="D24" s="30" t="s">
        <v>110</v>
      </c>
      <c r="E24" s="30">
        <v>3</v>
      </c>
      <c r="F24" s="30" t="s">
        <v>120</v>
      </c>
      <c r="G24" s="30" t="s">
        <v>143</v>
      </c>
      <c r="H24" s="30" t="s">
        <v>147</v>
      </c>
      <c r="I24" s="30" t="s">
        <v>45</v>
      </c>
      <c r="J24" s="30" t="s">
        <v>45</v>
      </c>
      <c r="K24" s="31"/>
      <c r="L24" s="31"/>
      <c r="M24" s="32">
        <v>4</v>
      </c>
      <c r="N24" s="32">
        <f>IF($D24="Equipo completo",Supuestos!$B$5,1)</f>
        <v>1</v>
      </c>
      <c r="O24" s="33">
        <f>IF(ISNUMBER($E24),$E24*$N24*Supuestos!$B$4,0)</f>
        <v>12</v>
      </c>
      <c r="P24" s="34">
        <f>$O24*Supuestos!$B$10</f>
        <v>267157.89473684214</v>
      </c>
    </row>
    <row r="25" spans="1:16" x14ac:dyDescent="0.25">
      <c r="A25" s="25" t="s">
        <v>148</v>
      </c>
      <c r="B25" s="25" t="s">
        <v>30</v>
      </c>
      <c r="C25" s="26" t="s">
        <v>149</v>
      </c>
      <c r="D25" s="25" t="s">
        <v>41</v>
      </c>
      <c r="E25" s="25" t="s">
        <v>42</v>
      </c>
      <c r="F25" s="25" t="s">
        <v>139</v>
      </c>
      <c r="G25" s="25" t="s">
        <v>137</v>
      </c>
      <c r="H25" s="25" t="s">
        <v>137</v>
      </c>
      <c r="I25" s="25" t="s">
        <v>46</v>
      </c>
      <c r="J25" s="25" t="s">
        <v>46</v>
      </c>
      <c r="K25" s="26"/>
      <c r="L25" s="26"/>
      <c r="M25" s="27" t="s">
        <v>30</v>
      </c>
      <c r="N25" s="27" t="s">
        <v>42</v>
      </c>
      <c r="O25" s="28">
        <v>0</v>
      </c>
      <c r="P25" s="29">
        <f>$O25*Supuestos!$B$10</f>
        <v>0</v>
      </c>
    </row>
    <row r="26" spans="1:16" ht="39" customHeight="1" x14ac:dyDescent="0.25">
      <c r="A26" s="20" t="s">
        <v>150</v>
      </c>
      <c r="B26" s="20" t="s">
        <v>69</v>
      </c>
      <c r="C26" s="21" t="s">
        <v>151</v>
      </c>
      <c r="D26" s="20" t="s">
        <v>41</v>
      </c>
      <c r="E26" s="20">
        <v>3</v>
      </c>
      <c r="F26" s="20" t="s">
        <v>152</v>
      </c>
      <c r="G26" s="20" t="s">
        <v>153</v>
      </c>
      <c r="H26" s="20" t="s">
        <v>154</v>
      </c>
      <c r="I26" s="20" t="s">
        <v>45</v>
      </c>
      <c r="J26" s="20" t="s">
        <v>46</v>
      </c>
      <c r="K26" s="21"/>
      <c r="L26" s="21" t="s">
        <v>155</v>
      </c>
      <c r="M26" s="22">
        <v>1</v>
      </c>
      <c r="N26" s="22">
        <f>IF($D26="Equipo completo",Supuestos!$B$5,1)</f>
        <v>5</v>
      </c>
      <c r="O26" s="23">
        <f>IF(ISNUMBER($E26),$E26*$N26*Supuestos!$B$4,0)</f>
        <v>60</v>
      </c>
      <c r="P26" s="24">
        <f>$O26*Supuestos!$B$10</f>
        <v>1335789.4736842106</v>
      </c>
    </row>
    <row r="27" spans="1:16" x14ac:dyDescent="0.25">
      <c r="A27" s="25" t="s">
        <v>156</v>
      </c>
      <c r="B27" s="25" t="s">
        <v>30</v>
      </c>
      <c r="C27" s="26" t="s">
        <v>157</v>
      </c>
      <c r="D27" s="25" t="s">
        <v>41</v>
      </c>
      <c r="E27" s="25" t="s">
        <v>42</v>
      </c>
      <c r="F27" s="25" t="s">
        <v>150</v>
      </c>
      <c r="G27" s="25" t="s">
        <v>154</v>
      </c>
      <c r="H27" s="25" t="s">
        <v>154</v>
      </c>
      <c r="I27" s="25" t="s">
        <v>46</v>
      </c>
      <c r="J27" s="25" t="s">
        <v>46</v>
      </c>
      <c r="K27" s="26"/>
      <c r="L27" s="26"/>
      <c r="M27" s="27" t="s">
        <v>30</v>
      </c>
      <c r="N27" s="27" t="s">
        <v>42</v>
      </c>
      <c r="O27" s="28">
        <v>0</v>
      </c>
      <c r="P27" s="29">
        <f>$O27*Supuestos!$B$10</f>
        <v>0</v>
      </c>
    </row>
    <row r="28" spans="1:16" x14ac:dyDescent="0.25">
      <c r="A28" s="30" t="s">
        <v>158</v>
      </c>
      <c r="B28" s="30" t="s">
        <v>159</v>
      </c>
      <c r="C28" s="31" t="s">
        <v>160</v>
      </c>
      <c r="D28" s="30" t="s">
        <v>110</v>
      </c>
      <c r="E28" s="30">
        <v>5</v>
      </c>
      <c r="F28" s="30" t="s">
        <v>156</v>
      </c>
      <c r="G28" s="30" t="s">
        <v>161</v>
      </c>
      <c r="H28" s="30" t="s">
        <v>162</v>
      </c>
      <c r="I28" s="30" t="s">
        <v>45</v>
      </c>
      <c r="J28" s="30" t="s">
        <v>45</v>
      </c>
      <c r="K28" s="31"/>
      <c r="L28" s="31"/>
      <c r="M28" s="32">
        <v>5</v>
      </c>
      <c r="N28" s="32">
        <f>IF($D28="Equipo completo",Supuestos!$B$5,1)</f>
        <v>1</v>
      </c>
      <c r="O28" s="33">
        <f>IF(ISNUMBER($E28),$E28*$N28*Supuestos!$B$4,0)</f>
        <v>20</v>
      </c>
      <c r="P28" s="34">
        <f>$O28*Supuestos!$B$10</f>
        <v>445263.15789473685</v>
      </c>
    </row>
    <row r="29" spans="1:16" x14ac:dyDescent="0.25">
      <c r="A29" s="20" t="s">
        <v>163</v>
      </c>
      <c r="B29" s="20" t="s">
        <v>159</v>
      </c>
      <c r="C29" s="21" t="s">
        <v>164</v>
      </c>
      <c r="D29" s="20" t="s">
        <v>99</v>
      </c>
      <c r="E29" s="20">
        <v>5</v>
      </c>
      <c r="F29" s="20" t="s">
        <v>156</v>
      </c>
      <c r="G29" s="20" t="s">
        <v>161</v>
      </c>
      <c r="H29" s="20" t="s">
        <v>162</v>
      </c>
      <c r="I29" s="20" t="s">
        <v>45</v>
      </c>
      <c r="J29" s="20" t="s">
        <v>46</v>
      </c>
      <c r="K29" s="21"/>
      <c r="L29" s="21"/>
      <c r="M29" s="22">
        <v>5</v>
      </c>
      <c r="N29" s="22">
        <f>IF($D29="Equipo completo",Supuestos!$B$5,1)</f>
        <v>1</v>
      </c>
      <c r="O29" s="23">
        <f>IF(ISNUMBER($E29),$E29*$N29*Supuestos!$B$4,0)</f>
        <v>20</v>
      </c>
      <c r="P29" s="24">
        <f>$O29*Supuestos!$B$10</f>
        <v>445263.15789473685</v>
      </c>
    </row>
    <row r="30" spans="1:16" ht="26.25" customHeight="1" x14ac:dyDescent="0.25">
      <c r="A30" s="20" t="s">
        <v>165</v>
      </c>
      <c r="B30" s="20" t="s">
        <v>166</v>
      </c>
      <c r="C30" s="21" t="s">
        <v>167</v>
      </c>
      <c r="D30" s="20" t="s">
        <v>64</v>
      </c>
      <c r="E30" s="20">
        <v>3</v>
      </c>
      <c r="F30" s="20" t="s">
        <v>163</v>
      </c>
      <c r="G30" s="20" t="s">
        <v>168</v>
      </c>
      <c r="H30" s="20" t="s">
        <v>169</v>
      </c>
      <c r="I30" s="20" t="s">
        <v>45</v>
      </c>
      <c r="J30" s="20" t="s">
        <v>46</v>
      </c>
      <c r="K30" s="21"/>
      <c r="L30" s="21"/>
      <c r="M30" s="22">
        <v>5</v>
      </c>
      <c r="N30" s="22">
        <f>IF($D30="Equipo completo",Supuestos!$B$5,1)</f>
        <v>1</v>
      </c>
      <c r="O30" s="23">
        <f>IF(ISNUMBER($E30),$E30*$N30*Supuestos!$B$4,0)</f>
        <v>12</v>
      </c>
      <c r="P30" s="24">
        <f>$O30*Supuestos!$B$10</f>
        <v>267157.89473684214</v>
      </c>
    </row>
    <row r="31" spans="1:16" ht="26.25" customHeight="1" x14ac:dyDescent="0.25">
      <c r="A31" s="30" t="s">
        <v>170</v>
      </c>
      <c r="B31" s="30" t="s">
        <v>69</v>
      </c>
      <c r="C31" s="31" t="s">
        <v>171</v>
      </c>
      <c r="D31" s="30" t="s">
        <v>61</v>
      </c>
      <c r="E31" s="30">
        <v>3</v>
      </c>
      <c r="F31" s="30" t="s">
        <v>172</v>
      </c>
      <c r="G31" s="30" t="s">
        <v>169</v>
      </c>
      <c r="H31" s="30" t="s">
        <v>173</v>
      </c>
      <c r="I31" s="30" t="s">
        <v>45</v>
      </c>
      <c r="J31" s="30" t="s">
        <v>45</v>
      </c>
      <c r="K31" s="31" t="s">
        <v>174</v>
      </c>
      <c r="L31" s="31" t="s">
        <v>175</v>
      </c>
      <c r="M31" s="32">
        <v>1</v>
      </c>
      <c r="N31" s="32">
        <f>IF($D31="Equipo completo",Supuestos!$B$5,1)</f>
        <v>1</v>
      </c>
      <c r="O31" s="33">
        <f>IF(ISNUMBER($E31),$E31*$N31*Supuestos!$B$4,0)</f>
        <v>12</v>
      </c>
      <c r="P31" s="34">
        <f>$O31*Supuestos!$B$10</f>
        <v>267157.89473684214</v>
      </c>
    </row>
    <row r="32" spans="1:16" x14ac:dyDescent="0.25">
      <c r="A32" s="30" t="s">
        <v>176</v>
      </c>
      <c r="B32" s="30" t="s">
        <v>177</v>
      </c>
      <c r="C32" s="31" t="s">
        <v>178</v>
      </c>
      <c r="D32" s="30" t="s">
        <v>64</v>
      </c>
      <c r="E32" s="30">
        <v>3</v>
      </c>
      <c r="F32" s="30" t="s">
        <v>73</v>
      </c>
      <c r="G32" s="30" t="s">
        <v>179</v>
      </c>
      <c r="H32" s="30" t="s">
        <v>180</v>
      </c>
      <c r="I32" s="30" t="s">
        <v>45</v>
      </c>
      <c r="J32" s="30" t="s">
        <v>45</v>
      </c>
      <c r="K32" s="31"/>
      <c r="L32" s="31"/>
      <c r="M32" s="32">
        <v>1</v>
      </c>
      <c r="N32" s="32">
        <f>IF($D32="Equipo completo",Supuestos!$B$5,1)</f>
        <v>1</v>
      </c>
      <c r="O32" s="33">
        <f>IF(ISNUMBER($E32),$E32*$N32*Supuestos!$B$4,0)</f>
        <v>12</v>
      </c>
      <c r="P32" s="34">
        <f>$O32*Supuestos!$B$10</f>
        <v>267157.89473684214</v>
      </c>
    </row>
    <row r="33" spans="1:16" x14ac:dyDescent="0.25">
      <c r="A33" s="20" t="s">
        <v>181</v>
      </c>
      <c r="B33" s="20" t="s">
        <v>182</v>
      </c>
      <c r="C33" s="21" t="s">
        <v>183</v>
      </c>
      <c r="D33" s="20" t="s">
        <v>79</v>
      </c>
      <c r="E33" s="20">
        <v>6</v>
      </c>
      <c r="F33" s="20" t="s">
        <v>165</v>
      </c>
      <c r="G33" s="20" t="s">
        <v>179</v>
      </c>
      <c r="H33" s="20" t="s">
        <v>184</v>
      </c>
      <c r="I33" s="20" t="s">
        <v>45</v>
      </c>
      <c r="J33" s="20" t="s">
        <v>46</v>
      </c>
      <c r="K33" s="21"/>
      <c r="L33" s="21"/>
      <c r="M33" s="22">
        <v>5</v>
      </c>
      <c r="N33" s="22">
        <f>IF($D33="Equipo completo",Supuestos!$B$5,1)</f>
        <v>1</v>
      </c>
      <c r="O33" s="23">
        <f>IF(ISNUMBER($E33),$E33*$N33*Supuestos!$B$4,0)</f>
        <v>24</v>
      </c>
      <c r="P33" s="24">
        <f>$O33*Supuestos!$B$10</f>
        <v>534315.78947368427</v>
      </c>
    </row>
    <row r="34" spans="1:16" x14ac:dyDescent="0.25">
      <c r="A34" s="30" t="s">
        <v>185</v>
      </c>
      <c r="B34" s="30" t="s">
        <v>69</v>
      </c>
      <c r="C34" s="31" t="s">
        <v>186</v>
      </c>
      <c r="D34" s="30" t="s">
        <v>99</v>
      </c>
      <c r="E34" s="30">
        <v>3</v>
      </c>
      <c r="F34" s="30" t="s">
        <v>176</v>
      </c>
      <c r="G34" s="30" t="s">
        <v>184</v>
      </c>
      <c r="H34" s="30" t="s">
        <v>187</v>
      </c>
      <c r="I34" s="30" t="s">
        <v>45</v>
      </c>
      <c r="J34" s="30" t="s">
        <v>45</v>
      </c>
      <c r="K34" s="31"/>
      <c r="L34" s="31" t="s">
        <v>188</v>
      </c>
      <c r="M34" s="32">
        <v>1</v>
      </c>
      <c r="N34" s="32">
        <f>IF($D34="Equipo completo",Supuestos!$B$5,1)</f>
        <v>1</v>
      </c>
      <c r="O34" s="33">
        <f>IF(ISNUMBER($E34),$E34*$N34*Supuestos!$B$4,0)</f>
        <v>12</v>
      </c>
      <c r="P34" s="34">
        <f>$O34*Supuestos!$B$10</f>
        <v>267157.89473684214</v>
      </c>
    </row>
    <row r="35" spans="1:16" x14ac:dyDescent="0.25">
      <c r="A35" s="20" t="s">
        <v>189</v>
      </c>
      <c r="B35" s="20" t="s">
        <v>131</v>
      </c>
      <c r="C35" s="21" t="s">
        <v>190</v>
      </c>
      <c r="D35" s="20" t="s">
        <v>110</v>
      </c>
      <c r="E35" s="20">
        <v>3</v>
      </c>
      <c r="F35" s="20" t="s">
        <v>181</v>
      </c>
      <c r="G35" s="20" t="s">
        <v>191</v>
      </c>
      <c r="H35" s="20" t="s">
        <v>192</v>
      </c>
      <c r="I35" s="20" t="s">
        <v>45</v>
      </c>
      <c r="J35" s="20" t="s">
        <v>46</v>
      </c>
      <c r="K35" s="21"/>
      <c r="L35" s="21"/>
      <c r="M35" s="22">
        <v>6</v>
      </c>
      <c r="N35" s="22">
        <f>IF($D35="Equipo completo",Supuestos!$B$5,1)</f>
        <v>1</v>
      </c>
      <c r="O35" s="23">
        <f>IF(ISNUMBER($E35),$E35*$N35*Supuestos!$B$4,0)</f>
        <v>12</v>
      </c>
      <c r="P35" s="24">
        <f>$O35*Supuestos!$B$10</f>
        <v>267157.89473684214</v>
      </c>
    </row>
    <row r="36" spans="1:16" ht="26.25" customHeight="1" x14ac:dyDescent="0.25">
      <c r="A36" s="20" t="s">
        <v>193</v>
      </c>
      <c r="B36" s="20" t="s">
        <v>194</v>
      </c>
      <c r="C36" s="21" t="s">
        <v>195</v>
      </c>
      <c r="D36" s="20" t="s">
        <v>64</v>
      </c>
      <c r="E36" s="20">
        <v>3</v>
      </c>
      <c r="F36" s="20" t="s">
        <v>181</v>
      </c>
      <c r="G36" s="20" t="s">
        <v>191</v>
      </c>
      <c r="H36" s="20" t="s">
        <v>192</v>
      </c>
      <c r="I36" s="20" t="s">
        <v>45</v>
      </c>
      <c r="J36" s="20" t="s">
        <v>46</v>
      </c>
      <c r="K36" s="21"/>
      <c r="L36" s="21"/>
      <c r="M36" s="22">
        <v>6</v>
      </c>
      <c r="N36" s="22">
        <f>IF($D36="Equipo completo",Supuestos!$B$5,1)</f>
        <v>1</v>
      </c>
      <c r="O36" s="23">
        <f>IF(ISNUMBER($E36),$E36*$N36*Supuestos!$B$4,0)</f>
        <v>12</v>
      </c>
      <c r="P36" s="24">
        <f>$O36*Supuestos!$B$10</f>
        <v>267157.89473684214</v>
      </c>
    </row>
    <row r="37" spans="1:16" ht="39" customHeight="1" x14ac:dyDescent="0.25">
      <c r="A37" s="20" t="s">
        <v>196</v>
      </c>
      <c r="B37" s="20" t="s">
        <v>197</v>
      </c>
      <c r="C37" s="21" t="s">
        <v>198</v>
      </c>
      <c r="D37" s="20" t="s">
        <v>61</v>
      </c>
      <c r="E37" s="20">
        <v>3</v>
      </c>
      <c r="F37" s="20" t="s">
        <v>199</v>
      </c>
      <c r="G37" s="20" t="s">
        <v>192</v>
      </c>
      <c r="H37" s="20" t="s">
        <v>200</v>
      </c>
      <c r="I37" s="20" t="s">
        <v>45</v>
      </c>
      <c r="J37" s="20" t="s">
        <v>46</v>
      </c>
      <c r="K37" s="21" t="s">
        <v>201</v>
      </c>
      <c r="L37" s="21"/>
      <c r="M37" s="22">
        <v>6</v>
      </c>
      <c r="N37" s="22">
        <f>IF($D37="Equipo completo",Supuestos!$B$5,1)</f>
        <v>1</v>
      </c>
      <c r="O37" s="23">
        <f>IF(ISNUMBER($E37),$E37*$N37*Supuestos!$B$4,0)</f>
        <v>12</v>
      </c>
      <c r="P37" s="24">
        <f>$O37*Supuestos!$B$10</f>
        <v>267157.89473684214</v>
      </c>
    </row>
    <row r="38" spans="1:16" ht="26.25" customHeight="1" x14ac:dyDescent="0.25">
      <c r="A38" s="25" t="s">
        <v>202</v>
      </c>
      <c r="B38" s="25" t="s">
        <v>30</v>
      </c>
      <c r="C38" s="26" t="s">
        <v>203</v>
      </c>
      <c r="D38" s="25" t="s">
        <v>41</v>
      </c>
      <c r="E38" s="25" t="s">
        <v>42</v>
      </c>
      <c r="F38" s="25" t="s">
        <v>196</v>
      </c>
      <c r="G38" s="25" t="s">
        <v>200</v>
      </c>
      <c r="H38" s="25" t="s">
        <v>200</v>
      </c>
      <c r="I38" s="25" t="s">
        <v>46</v>
      </c>
      <c r="J38" s="25" t="s">
        <v>46</v>
      </c>
      <c r="K38" s="26"/>
      <c r="L38" s="26" t="s">
        <v>204</v>
      </c>
      <c r="M38" s="27" t="s">
        <v>30</v>
      </c>
      <c r="N38" s="27" t="s">
        <v>42</v>
      </c>
      <c r="O38" s="28">
        <v>0</v>
      </c>
      <c r="P38" s="29">
        <f>$O38*Supuestos!$B$10</f>
        <v>0</v>
      </c>
    </row>
    <row r="39" spans="1:16" x14ac:dyDescent="0.25">
      <c r="L39" s="35" t="s">
        <v>205</v>
      </c>
      <c r="O39" s="36">
        <f>SUM(O2:O38)</f>
        <v>812</v>
      </c>
      <c r="P39" s="29">
        <f>SUM(P2:P38)</f>
        <v>18077684.210526306</v>
      </c>
    </row>
    <row r="40" spans="1:16" x14ac:dyDescent="0.25">
      <c r="A40" s="37"/>
    </row>
    <row r="41" spans="1:16" x14ac:dyDescent="0.25">
      <c r="A41" s="38"/>
    </row>
    <row r="42" spans="1:16" x14ac:dyDescent="0.25">
      <c r="A42" s="3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workbookViewId="0"/>
  </sheetViews>
  <sheetFormatPr baseColWidth="10" defaultColWidth="8.7109375" defaultRowHeight="15" x14ac:dyDescent="0.25"/>
  <cols>
    <col min="1" max="1" width="10" customWidth="1"/>
    <col min="2" max="2" width="40" customWidth="1"/>
    <col min="3" max="4" width="16" customWidth="1"/>
    <col min="5" max="5" width="18" customWidth="1"/>
    <col min="6" max="6" width="12" customWidth="1"/>
  </cols>
  <sheetData>
    <row r="1" spans="1:6" ht="15.75" x14ac:dyDescent="0.25">
      <c r="A1" s="1" t="s">
        <v>206</v>
      </c>
    </row>
    <row r="3" spans="1:6" x14ac:dyDescent="0.25">
      <c r="A3" s="39" t="s">
        <v>207</v>
      </c>
      <c r="B3" s="39" t="s">
        <v>208</v>
      </c>
      <c r="C3" s="39" t="s">
        <v>209</v>
      </c>
      <c r="D3" s="39" t="s">
        <v>36</v>
      </c>
      <c r="E3" s="39" t="s">
        <v>210</v>
      </c>
      <c r="F3" s="39" t="s">
        <v>211</v>
      </c>
    </row>
    <row r="4" spans="1:6" x14ac:dyDescent="0.25">
      <c r="A4" s="32">
        <v>1</v>
      </c>
      <c r="B4" s="40" t="s">
        <v>212</v>
      </c>
      <c r="C4" s="33">
        <f>SUMIFS(Cronograma!$E$2:$E$38,Cronograma!$M$2:$M$38,$A4)</f>
        <v>35</v>
      </c>
      <c r="D4" s="33">
        <f>SUMIFS(Cronograma!$O$2:$O$38,Cronograma!$M$2:$M$38,$A4)</f>
        <v>284</v>
      </c>
      <c r="E4" s="34">
        <f>SUMIFS(Cronograma!$P$2:$P$38,Cronograma!$M$2:$M$38,$A4)</f>
        <v>6322736.8421052638</v>
      </c>
      <c r="F4" s="41">
        <f t="shared" ref="F4:F9" si="0">IFERROR($E4/$E$10,0)</f>
        <v>0.34975369458128081</v>
      </c>
    </row>
    <row r="5" spans="1:6" x14ac:dyDescent="0.25">
      <c r="A5" s="32">
        <v>2</v>
      </c>
      <c r="B5" s="40" t="s">
        <v>213</v>
      </c>
      <c r="C5" s="33">
        <f>SUMIFS(Cronograma!$E$2:$E$38,Cronograma!$M$2:$M$38,$A5)</f>
        <v>12</v>
      </c>
      <c r="D5" s="33">
        <f>SUMIFS(Cronograma!$O$2:$O$38,Cronograma!$M$2:$M$38,$A5)</f>
        <v>192</v>
      </c>
      <c r="E5" s="34">
        <f>SUMIFS(Cronograma!$P$2:$P$38,Cronograma!$M$2:$M$38,$A5)</f>
        <v>4274526.3157894742</v>
      </c>
      <c r="F5" s="41">
        <f t="shared" si="0"/>
        <v>0.23645320197044337</v>
      </c>
    </row>
    <row r="6" spans="1:6" x14ac:dyDescent="0.25">
      <c r="A6" s="32">
        <v>3</v>
      </c>
      <c r="B6" s="40" t="s">
        <v>214</v>
      </c>
      <c r="C6" s="33">
        <f>SUMIFS(Cronograma!$E$2:$E$38,Cronograma!$M$2:$M$38,$A6)</f>
        <v>17</v>
      </c>
      <c r="D6" s="33">
        <f>SUMIFS(Cronograma!$O$2:$O$38,Cronograma!$M$2:$M$38,$A6)</f>
        <v>68</v>
      </c>
      <c r="E6" s="34">
        <f>SUMIFS(Cronograma!$P$2:$P$38,Cronograma!$M$2:$M$38,$A6)</f>
        <v>1513894.7368421054</v>
      </c>
      <c r="F6" s="41">
        <f t="shared" si="0"/>
        <v>8.3743842364532015E-2</v>
      </c>
    </row>
    <row r="7" spans="1:6" x14ac:dyDescent="0.25">
      <c r="A7" s="32">
        <v>4</v>
      </c>
      <c r="B7" s="40" t="s">
        <v>215</v>
      </c>
      <c r="C7" s="33">
        <f>SUMIFS(Cronograma!$E$2:$E$38,Cronograma!$M$2:$M$38,$A7)</f>
        <v>34</v>
      </c>
      <c r="D7" s="33">
        <f>SUMIFS(Cronograma!$O$2:$O$38,Cronograma!$M$2:$M$38,$A7)</f>
        <v>136</v>
      </c>
      <c r="E7" s="34">
        <f>SUMIFS(Cronograma!$P$2:$P$38,Cronograma!$M$2:$M$38,$A7)</f>
        <v>3027789.4736842108</v>
      </c>
      <c r="F7" s="41">
        <f t="shared" si="0"/>
        <v>0.16748768472906403</v>
      </c>
    </row>
    <row r="8" spans="1:6" x14ac:dyDescent="0.25">
      <c r="A8" s="32">
        <v>5</v>
      </c>
      <c r="B8" s="40" t="s">
        <v>216</v>
      </c>
      <c r="C8" s="33">
        <f>SUMIFS(Cronograma!$E$2:$E$38,Cronograma!$M$2:$M$38,$A8)</f>
        <v>19</v>
      </c>
      <c r="D8" s="33">
        <f>SUMIFS(Cronograma!$O$2:$O$38,Cronograma!$M$2:$M$38,$A8)</f>
        <v>76</v>
      </c>
      <c r="E8" s="34">
        <f>SUMIFS(Cronograma!$P$2:$P$38,Cronograma!$M$2:$M$38,$A8)</f>
        <v>1692000.0000000002</v>
      </c>
      <c r="F8" s="41">
        <f t="shared" si="0"/>
        <v>9.3596059113300503E-2</v>
      </c>
    </row>
    <row r="9" spans="1:6" x14ac:dyDescent="0.25">
      <c r="A9" s="32">
        <v>6</v>
      </c>
      <c r="B9" s="40" t="s">
        <v>217</v>
      </c>
      <c r="C9" s="33">
        <f>SUMIFS(Cronograma!$E$2:$E$38,Cronograma!$M$2:$M$38,$A9)</f>
        <v>14</v>
      </c>
      <c r="D9" s="33">
        <f>SUMIFS(Cronograma!$O$2:$O$38,Cronograma!$M$2:$M$38,$A9)</f>
        <v>56</v>
      </c>
      <c r="E9" s="34">
        <f>SUMIFS(Cronograma!$P$2:$P$38,Cronograma!$M$2:$M$38,$A9)</f>
        <v>1246736.8421052634</v>
      </c>
      <c r="F9" s="41">
        <f t="shared" si="0"/>
        <v>6.8965517241379323E-2</v>
      </c>
    </row>
    <row r="10" spans="1:6" x14ac:dyDescent="0.25">
      <c r="A10" s="42"/>
      <c r="B10" s="42" t="s">
        <v>218</v>
      </c>
      <c r="C10" s="28">
        <f>SUM(C4:C9)</f>
        <v>131</v>
      </c>
      <c r="D10" s="28">
        <f>SUM(D4:D9)</f>
        <v>812</v>
      </c>
      <c r="E10" s="29">
        <f>SUM(E4:E9)</f>
        <v>18077684.210526317</v>
      </c>
      <c r="F10" s="43">
        <v>1</v>
      </c>
    </row>
    <row r="12" spans="1:6" ht="15.75" x14ac:dyDescent="0.25">
      <c r="A12" s="1" t="s">
        <v>219</v>
      </c>
    </row>
    <row r="14" spans="1:6" x14ac:dyDescent="0.25">
      <c r="A14" s="44" t="s">
        <v>25</v>
      </c>
      <c r="B14" s="44" t="s">
        <v>209</v>
      </c>
      <c r="C14" s="44" t="s">
        <v>36</v>
      </c>
      <c r="D14" s="44" t="s">
        <v>210</v>
      </c>
    </row>
    <row r="15" spans="1:6" x14ac:dyDescent="0.25">
      <c r="A15" s="45" t="s">
        <v>64</v>
      </c>
      <c r="B15" s="46">
        <f>SUMIFS(Cronograma!$E$2:$E$38,Cronograma!$D$2:$D$38,$A15)</f>
        <v>22</v>
      </c>
      <c r="C15" s="46">
        <f>SUMIFS(Cronograma!$O$2:$O$38,Cronograma!$D$2:$D$38,$A15)</f>
        <v>88</v>
      </c>
      <c r="D15" s="47">
        <f>SUMIFS(Cronograma!$P$2:$P$38,Cronograma!$D$2:$D$38,$A15)</f>
        <v>1959157.8947368427</v>
      </c>
    </row>
    <row r="16" spans="1:6" x14ac:dyDescent="0.25">
      <c r="A16" s="45" t="s">
        <v>99</v>
      </c>
      <c r="B16" s="46">
        <f>SUMIFS(Cronograma!$E$2:$E$38,Cronograma!$D$2:$D$38,$A16)</f>
        <v>22</v>
      </c>
      <c r="C16" s="46">
        <f>SUMIFS(Cronograma!$O$2:$O$38,Cronograma!$D$2:$D$38,$A16)</f>
        <v>88</v>
      </c>
      <c r="D16" s="47">
        <f>SUMIFS(Cronograma!$P$2:$P$38,Cronograma!$D$2:$D$38,$A16)</f>
        <v>1959157.8947368423</v>
      </c>
    </row>
    <row r="17" spans="1:4" x14ac:dyDescent="0.25">
      <c r="A17" s="45" t="s">
        <v>110</v>
      </c>
      <c r="B17" s="46">
        <f>SUMIFS(Cronograma!$E$2:$E$38,Cronograma!$D$2:$D$38,$A17)</f>
        <v>23</v>
      </c>
      <c r="C17" s="46">
        <f>SUMIFS(Cronograma!$O$2:$O$38,Cronograma!$D$2:$D$38,$A17)</f>
        <v>92</v>
      </c>
      <c r="D17" s="47">
        <f>SUMIFS(Cronograma!$P$2:$P$38,Cronograma!$D$2:$D$38,$A17)</f>
        <v>2048210.5263157897</v>
      </c>
    </row>
    <row r="18" spans="1:4" x14ac:dyDescent="0.25">
      <c r="A18" s="45" t="s">
        <v>61</v>
      </c>
      <c r="B18" s="46">
        <f>SUMIFS(Cronograma!$E$2:$E$38,Cronograma!$D$2:$D$38,$A18)</f>
        <v>23</v>
      </c>
      <c r="C18" s="46">
        <f>SUMIFS(Cronograma!$O$2:$O$38,Cronograma!$D$2:$D$38,$A18)</f>
        <v>92</v>
      </c>
      <c r="D18" s="47">
        <f>SUMIFS(Cronograma!$P$2:$P$38,Cronograma!$D$2:$D$38,$A18)</f>
        <v>2048210.5263157897</v>
      </c>
    </row>
    <row r="19" spans="1:4" x14ac:dyDescent="0.25">
      <c r="A19" s="45" t="s">
        <v>79</v>
      </c>
      <c r="B19" s="46">
        <f>SUMIFS(Cronograma!$E$2:$E$38,Cronograma!$D$2:$D$38,$A19)</f>
        <v>23</v>
      </c>
      <c r="C19" s="46">
        <f>SUMIFS(Cronograma!$O$2:$O$38,Cronograma!$D$2:$D$38,$A19)</f>
        <v>92</v>
      </c>
      <c r="D19" s="47">
        <f>SUMIFS(Cronograma!$P$2:$P$38,Cronograma!$D$2:$D$38,$A19)</f>
        <v>2048210.5263157897</v>
      </c>
    </row>
    <row r="20" spans="1:4" x14ac:dyDescent="0.25">
      <c r="A20" s="45" t="s">
        <v>41</v>
      </c>
      <c r="B20" s="46">
        <f>SUMIFS(Cronograma!$E$2:$E$38,Cronograma!$D$2:$D$38,$A20)</f>
        <v>18</v>
      </c>
      <c r="C20" s="46">
        <f>SUMIFS(Cronograma!$O$2:$O$38,Cronograma!$D$2:$D$38,$A20)</f>
        <v>360</v>
      </c>
      <c r="D20" s="47">
        <f>SUMIFS(Cronograma!$P$2:$P$38,Cronograma!$D$2:$D$38,$A20)</f>
        <v>8014736.8421052629</v>
      </c>
    </row>
    <row r="21" spans="1:4" x14ac:dyDescent="0.25">
      <c r="A21" s="42" t="s">
        <v>220</v>
      </c>
      <c r="B21" s="48">
        <f>SUM(B15:B20)</f>
        <v>131</v>
      </c>
      <c r="C21" s="48">
        <f>SUM(C15:C20)</f>
        <v>812</v>
      </c>
      <c r="D21" s="49">
        <f>SUM(D15:D20)</f>
        <v>18077684.210526317</v>
      </c>
    </row>
    <row r="23" spans="1:4" x14ac:dyDescent="0.25">
      <c r="A23" s="12" t="s">
        <v>221</v>
      </c>
    </row>
    <row r="24" spans="1:4" x14ac:dyDescent="0.25">
      <c r="A24" s="12" t="s">
        <v>222</v>
      </c>
    </row>
    <row r="25" spans="1:4" x14ac:dyDescent="0.25">
      <c r="A25" s="12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abSelected="1" zoomScale="80" zoomScaleNormal="80" workbookViewId="0">
      <pane ySplit="1" topLeftCell="A2" activePane="bottomLeft" state="frozen"/>
      <selection activeCell="Q8" sqref="Q8"/>
      <selection pane="bottomLeft" activeCell="Q8" sqref="Q8"/>
    </sheetView>
  </sheetViews>
  <sheetFormatPr baseColWidth="10" defaultColWidth="8.7109375" defaultRowHeight="15" x14ac:dyDescent="0.25"/>
  <cols>
    <col min="1" max="1" width="9" customWidth="1"/>
    <col min="2" max="2" width="42" customWidth="1"/>
    <col min="3" max="3" width="12" customWidth="1"/>
    <col min="4" max="4" width="14" customWidth="1"/>
    <col min="5" max="5" width="12" customWidth="1"/>
    <col min="6" max="6" width="20" customWidth="1"/>
    <col min="7" max="7" width="14" customWidth="1"/>
  </cols>
  <sheetData>
    <row r="1" spans="1:7" ht="25.5" customHeight="1" x14ac:dyDescent="0.25">
      <c r="A1" s="13" t="s">
        <v>22</v>
      </c>
      <c r="B1" s="13" t="s">
        <v>24</v>
      </c>
      <c r="C1" s="13" t="s">
        <v>224</v>
      </c>
      <c r="D1" s="13" t="s">
        <v>225</v>
      </c>
      <c r="E1" s="13" t="s">
        <v>226</v>
      </c>
      <c r="F1" s="13" t="s">
        <v>227</v>
      </c>
      <c r="G1" s="13" t="s">
        <v>228</v>
      </c>
    </row>
    <row r="2" spans="1:7" ht="26.25" customHeight="1" x14ac:dyDescent="0.25">
      <c r="A2" s="30" t="s">
        <v>38</v>
      </c>
      <c r="B2" s="31" t="s">
        <v>40</v>
      </c>
      <c r="C2" s="30">
        <v>3</v>
      </c>
      <c r="D2" s="30">
        <v>4</v>
      </c>
      <c r="E2" s="30">
        <v>5</v>
      </c>
      <c r="F2" s="30">
        <f t="shared" ref="F2:F33" si="0">(C2+4*D2+E2)/6</f>
        <v>4</v>
      </c>
      <c r="G2" s="30">
        <v>4</v>
      </c>
    </row>
    <row r="3" spans="1:7" ht="26.25" customHeight="1" x14ac:dyDescent="0.25">
      <c r="A3" s="30" t="s">
        <v>48</v>
      </c>
      <c r="B3" s="31" t="s">
        <v>50</v>
      </c>
      <c r="C3" s="30">
        <v>4</v>
      </c>
      <c r="D3" s="30">
        <v>5</v>
      </c>
      <c r="E3" s="30">
        <v>6</v>
      </c>
      <c r="F3" s="30">
        <f t="shared" si="0"/>
        <v>5</v>
      </c>
      <c r="G3" s="30">
        <v>5</v>
      </c>
    </row>
    <row r="4" spans="1:7" x14ac:dyDescent="0.25">
      <c r="A4" s="30" t="s">
        <v>53</v>
      </c>
      <c r="B4" s="31" t="s">
        <v>55</v>
      </c>
      <c r="C4" s="30">
        <v>2</v>
      </c>
      <c r="D4" s="30">
        <v>3</v>
      </c>
      <c r="E4" s="30">
        <v>4</v>
      </c>
      <c r="F4" s="30">
        <f t="shared" si="0"/>
        <v>3</v>
      </c>
      <c r="G4" s="30">
        <v>3</v>
      </c>
    </row>
    <row r="5" spans="1:7" ht="26.25" customHeight="1" x14ac:dyDescent="0.25">
      <c r="A5" s="30" t="s">
        <v>58</v>
      </c>
      <c r="B5" s="31" t="s">
        <v>60</v>
      </c>
      <c r="C5" s="30">
        <v>2</v>
      </c>
      <c r="D5" s="30">
        <v>3</v>
      </c>
      <c r="E5" s="30">
        <v>4</v>
      </c>
      <c r="F5" s="30">
        <f t="shared" si="0"/>
        <v>3</v>
      </c>
      <c r="G5" s="30">
        <v>3</v>
      </c>
    </row>
    <row r="6" spans="1:7" x14ac:dyDescent="0.25">
      <c r="A6" s="30" t="s">
        <v>62</v>
      </c>
      <c r="B6" s="31" t="s">
        <v>63</v>
      </c>
      <c r="C6" s="30">
        <v>2</v>
      </c>
      <c r="D6" s="30">
        <v>3</v>
      </c>
      <c r="E6" s="30">
        <v>4</v>
      </c>
      <c r="F6" s="30">
        <f t="shared" si="0"/>
        <v>3</v>
      </c>
      <c r="G6" s="30">
        <v>3</v>
      </c>
    </row>
    <row r="7" spans="1:7" x14ac:dyDescent="0.25">
      <c r="A7" s="30" t="s">
        <v>68</v>
      </c>
      <c r="B7" s="31" t="s">
        <v>70</v>
      </c>
      <c r="C7" s="30">
        <v>2</v>
      </c>
      <c r="D7" s="30">
        <v>3</v>
      </c>
      <c r="E7" s="30">
        <v>4</v>
      </c>
      <c r="F7" s="30">
        <f t="shared" si="0"/>
        <v>3</v>
      </c>
      <c r="G7" s="30">
        <v>3</v>
      </c>
    </row>
    <row r="8" spans="1:7" x14ac:dyDescent="0.25">
      <c r="A8" s="30" t="s">
        <v>76</v>
      </c>
      <c r="B8" s="31" t="s">
        <v>78</v>
      </c>
      <c r="C8" s="30">
        <v>3</v>
      </c>
      <c r="D8" s="30">
        <v>4</v>
      </c>
      <c r="E8" s="30">
        <v>5</v>
      </c>
      <c r="F8" s="30">
        <f t="shared" si="0"/>
        <v>4</v>
      </c>
      <c r="G8" s="30">
        <v>4</v>
      </c>
    </row>
    <row r="9" spans="1:7" ht="26.25" customHeight="1" x14ac:dyDescent="0.25">
      <c r="A9" s="30" t="s">
        <v>82</v>
      </c>
      <c r="B9" s="31" t="s">
        <v>84</v>
      </c>
      <c r="C9" s="30">
        <v>5</v>
      </c>
      <c r="D9" s="30">
        <v>6</v>
      </c>
      <c r="E9" s="30">
        <v>7</v>
      </c>
      <c r="F9" s="30">
        <f t="shared" si="0"/>
        <v>6</v>
      </c>
      <c r="G9" s="30">
        <v>6</v>
      </c>
    </row>
    <row r="10" spans="1:7" ht="26.25" customHeight="1" x14ac:dyDescent="0.25">
      <c r="A10" s="30" t="s">
        <v>86</v>
      </c>
      <c r="B10" s="31" t="s">
        <v>88</v>
      </c>
      <c r="C10" s="30">
        <v>2</v>
      </c>
      <c r="D10" s="30">
        <v>3</v>
      </c>
      <c r="E10" s="30">
        <v>4</v>
      </c>
      <c r="F10" s="30">
        <f t="shared" si="0"/>
        <v>3</v>
      </c>
      <c r="G10" s="30">
        <v>3</v>
      </c>
    </row>
    <row r="11" spans="1:7" x14ac:dyDescent="0.25">
      <c r="A11" s="30" t="s">
        <v>91</v>
      </c>
      <c r="B11" s="31" t="s">
        <v>93</v>
      </c>
      <c r="C11" s="30">
        <v>3</v>
      </c>
      <c r="D11" s="30">
        <v>4</v>
      </c>
      <c r="E11" s="30">
        <v>5</v>
      </c>
      <c r="F11" s="30">
        <f t="shared" si="0"/>
        <v>4</v>
      </c>
      <c r="G11" s="30">
        <v>4</v>
      </c>
    </row>
    <row r="12" spans="1:7" x14ac:dyDescent="0.25">
      <c r="A12" s="30" t="s">
        <v>97</v>
      </c>
      <c r="B12" s="31" t="s">
        <v>98</v>
      </c>
      <c r="C12" s="30">
        <v>2</v>
      </c>
      <c r="D12" s="30">
        <v>3</v>
      </c>
      <c r="E12" s="30">
        <v>4</v>
      </c>
      <c r="F12" s="30">
        <f t="shared" si="0"/>
        <v>3</v>
      </c>
      <c r="G12" s="30">
        <v>3</v>
      </c>
    </row>
    <row r="13" spans="1:7" x14ac:dyDescent="0.25">
      <c r="A13" s="30" t="s">
        <v>104</v>
      </c>
      <c r="B13" s="31" t="s">
        <v>105</v>
      </c>
      <c r="C13" s="30">
        <v>3</v>
      </c>
      <c r="D13" s="30">
        <v>4</v>
      </c>
      <c r="E13" s="30">
        <v>5</v>
      </c>
      <c r="F13" s="30">
        <f t="shared" si="0"/>
        <v>4</v>
      </c>
      <c r="G13" s="30">
        <v>4</v>
      </c>
    </row>
    <row r="14" spans="1:7" ht="26.25" customHeight="1" x14ac:dyDescent="0.25">
      <c r="A14" s="30" t="s">
        <v>108</v>
      </c>
      <c r="B14" s="31" t="s">
        <v>109</v>
      </c>
      <c r="C14" s="30">
        <v>3</v>
      </c>
      <c r="D14" s="30">
        <v>4</v>
      </c>
      <c r="E14" s="30">
        <v>5</v>
      </c>
      <c r="F14" s="30">
        <f t="shared" si="0"/>
        <v>4</v>
      </c>
      <c r="G14" s="30">
        <v>4</v>
      </c>
    </row>
    <row r="15" spans="1:7" x14ac:dyDescent="0.25">
      <c r="A15" s="30" t="s">
        <v>111</v>
      </c>
      <c r="B15" s="31" t="s">
        <v>113</v>
      </c>
      <c r="C15" s="30">
        <v>3</v>
      </c>
      <c r="D15" s="30">
        <v>4</v>
      </c>
      <c r="E15" s="30">
        <v>5</v>
      </c>
      <c r="F15" s="30">
        <f t="shared" si="0"/>
        <v>4</v>
      </c>
      <c r="G15" s="30">
        <v>4</v>
      </c>
    </row>
    <row r="16" spans="1:7" x14ac:dyDescent="0.25">
      <c r="A16" s="30" t="s">
        <v>114</v>
      </c>
      <c r="B16" s="31" t="s">
        <v>115</v>
      </c>
      <c r="C16" s="30">
        <v>2</v>
      </c>
      <c r="D16" s="30">
        <v>3</v>
      </c>
      <c r="E16" s="30">
        <v>4</v>
      </c>
      <c r="F16" s="30">
        <f t="shared" si="0"/>
        <v>3</v>
      </c>
      <c r="G16" s="30">
        <v>3</v>
      </c>
    </row>
    <row r="17" spans="1:7" x14ac:dyDescent="0.25">
      <c r="A17" s="30" t="s">
        <v>120</v>
      </c>
      <c r="B17" s="31" t="s">
        <v>122</v>
      </c>
      <c r="C17" s="30">
        <v>7</v>
      </c>
      <c r="D17" s="30">
        <v>8</v>
      </c>
      <c r="E17" s="30">
        <v>9</v>
      </c>
      <c r="F17" s="30">
        <f t="shared" si="0"/>
        <v>8</v>
      </c>
      <c r="G17" s="30">
        <v>8</v>
      </c>
    </row>
    <row r="18" spans="1:7" x14ac:dyDescent="0.25">
      <c r="A18" s="30" t="s">
        <v>125</v>
      </c>
      <c r="B18" s="31" t="s">
        <v>127</v>
      </c>
      <c r="C18" s="30">
        <v>6</v>
      </c>
      <c r="D18" s="30">
        <v>7</v>
      </c>
      <c r="E18" s="30">
        <v>8</v>
      </c>
      <c r="F18" s="30">
        <f t="shared" si="0"/>
        <v>7</v>
      </c>
      <c r="G18" s="30">
        <v>7</v>
      </c>
    </row>
    <row r="19" spans="1:7" x14ac:dyDescent="0.25">
      <c r="A19" s="30" t="s">
        <v>130</v>
      </c>
      <c r="B19" s="31" t="s">
        <v>132</v>
      </c>
      <c r="C19" s="30">
        <v>4</v>
      </c>
      <c r="D19" s="30">
        <v>5</v>
      </c>
      <c r="E19" s="30">
        <v>6</v>
      </c>
      <c r="F19" s="30">
        <f t="shared" si="0"/>
        <v>5</v>
      </c>
      <c r="G19" s="30">
        <v>5</v>
      </c>
    </row>
    <row r="20" spans="1:7" x14ac:dyDescent="0.25">
      <c r="A20" s="30" t="s">
        <v>134</v>
      </c>
      <c r="B20" s="31" t="s">
        <v>136</v>
      </c>
      <c r="C20" s="30">
        <v>7</v>
      </c>
      <c r="D20" s="30">
        <v>8</v>
      </c>
      <c r="E20" s="30">
        <v>9</v>
      </c>
      <c r="F20" s="30">
        <f t="shared" si="0"/>
        <v>8</v>
      </c>
      <c r="G20" s="30">
        <v>8</v>
      </c>
    </row>
    <row r="21" spans="1:7" x14ac:dyDescent="0.25">
      <c r="A21" s="30" t="s">
        <v>139</v>
      </c>
      <c r="B21" s="31" t="s">
        <v>141</v>
      </c>
      <c r="C21" s="30">
        <v>3</v>
      </c>
      <c r="D21" s="30">
        <v>4</v>
      </c>
      <c r="E21" s="30">
        <v>5</v>
      </c>
      <c r="F21" s="30">
        <f t="shared" si="0"/>
        <v>4</v>
      </c>
      <c r="G21" s="30">
        <v>4</v>
      </c>
    </row>
    <row r="22" spans="1:7" x14ac:dyDescent="0.25">
      <c r="A22" s="30" t="s">
        <v>144</v>
      </c>
      <c r="B22" s="31" t="s">
        <v>146</v>
      </c>
      <c r="C22" s="30">
        <v>2</v>
      </c>
      <c r="D22" s="30">
        <v>3</v>
      </c>
      <c r="E22" s="30">
        <v>4</v>
      </c>
      <c r="F22" s="30">
        <f t="shared" si="0"/>
        <v>3</v>
      </c>
      <c r="G22" s="30">
        <v>3</v>
      </c>
    </row>
    <row r="23" spans="1:7" ht="26.25" customHeight="1" x14ac:dyDescent="0.25">
      <c r="A23" s="30" t="s">
        <v>150</v>
      </c>
      <c r="B23" s="31" t="s">
        <v>151</v>
      </c>
      <c r="C23" s="30">
        <v>2</v>
      </c>
      <c r="D23" s="30">
        <v>3</v>
      </c>
      <c r="E23" s="30">
        <v>4</v>
      </c>
      <c r="F23" s="30">
        <f t="shared" si="0"/>
        <v>3</v>
      </c>
      <c r="G23" s="30">
        <v>3</v>
      </c>
    </row>
    <row r="24" spans="1:7" x14ac:dyDescent="0.25">
      <c r="A24" s="30" t="s">
        <v>158</v>
      </c>
      <c r="B24" s="31" t="s">
        <v>160</v>
      </c>
      <c r="C24" s="30">
        <v>4</v>
      </c>
      <c r="D24" s="30">
        <v>5</v>
      </c>
      <c r="E24" s="30">
        <v>6</v>
      </c>
      <c r="F24" s="30">
        <f t="shared" si="0"/>
        <v>5</v>
      </c>
      <c r="G24" s="30">
        <v>5</v>
      </c>
    </row>
    <row r="25" spans="1:7" x14ac:dyDescent="0.25">
      <c r="A25" s="30" t="s">
        <v>163</v>
      </c>
      <c r="B25" s="31" t="s">
        <v>164</v>
      </c>
      <c r="C25" s="30">
        <v>4</v>
      </c>
      <c r="D25" s="30">
        <v>5</v>
      </c>
      <c r="E25" s="30">
        <v>6</v>
      </c>
      <c r="F25" s="30">
        <f t="shared" si="0"/>
        <v>5</v>
      </c>
      <c r="G25" s="30">
        <v>5</v>
      </c>
    </row>
    <row r="26" spans="1:7" ht="26.25" customHeight="1" x14ac:dyDescent="0.25">
      <c r="A26" s="30" t="s">
        <v>165</v>
      </c>
      <c r="B26" s="31" t="s">
        <v>167</v>
      </c>
      <c r="C26" s="30">
        <v>2</v>
      </c>
      <c r="D26" s="30">
        <v>3</v>
      </c>
      <c r="E26" s="30">
        <v>4</v>
      </c>
      <c r="F26" s="30">
        <f t="shared" si="0"/>
        <v>3</v>
      </c>
      <c r="G26" s="30">
        <v>3</v>
      </c>
    </row>
    <row r="27" spans="1:7" x14ac:dyDescent="0.25">
      <c r="A27" s="30" t="s">
        <v>170</v>
      </c>
      <c r="B27" s="31" t="s">
        <v>171</v>
      </c>
      <c r="C27" s="30">
        <v>2</v>
      </c>
      <c r="D27" s="30">
        <v>3</v>
      </c>
      <c r="E27" s="30">
        <v>4</v>
      </c>
      <c r="F27" s="30">
        <f t="shared" si="0"/>
        <v>3</v>
      </c>
      <c r="G27" s="30">
        <v>3</v>
      </c>
    </row>
    <row r="28" spans="1:7" x14ac:dyDescent="0.25">
      <c r="A28" s="30" t="s">
        <v>176</v>
      </c>
      <c r="B28" s="31" t="s">
        <v>178</v>
      </c>
      <c r="C28" s="30">
        <v>2</v>
      </c>
      <c r="D28" s="30">
        <v>3</v>
      </c>
      <c r="E28" s="30">
        <v>4</v>
      </c>
      <c r="F28" s="30">
        <f t="shared" si="0"/>
        <v>3</v>
      </c>
      <c r="G28" s="30">
        <v>3</v>
      </c>
    </row>
    <row r="29" spans="1:7" x14ac:dyDescent="0.25">
      <c r="A29" s="30" t="s">
        <v>181</v>
      </c>
      <c r="B29" s="31" t="s">
        <v>183</v>
      </c>
      <c r="C29" s="30">
        <v>5</v>
      </c>
      <c r="D29" s="30">
        <v>6</v>
      </c>
      <c r="E29" s="30">
        <v>7</v>
      </c>
      <c r="F29" s="30">
        <f t="shared" si="0"/>
        <v>6</v>
      </c>
      <c r="G29" s="30">
        <v>6</v>
      </c>
    </row>
    <row r="30" spans="1:7" x14ac:dyDescent="0.25">
      <c r="A30" s="30" t="s">
        <v>185</v>
      </c>
      <c r="B30" s="31" t="s">
        <v>186</v>
      </c>
      <c r="C30" s="30">
        <v>2</v>
      </c>
      <c r="D30" s="30">
        <v>3</v>
      </c>
      <c r="E30" s="30">
        <v>4</v>
      </c>
      <c r="F30" s="30">
        <f t="shared" si="0"/>
        <v>3</v>
      </c>
      <c r="G30" s="30">
        <v>3</v>
      </c>
    </row>
    <row r="31" spans="1:7" x14ac:dyDescent="0.25">
      <c r="A31" s="30" t="s">
        <v>189</v>
      </c>
      <c r="B31" s="31" t="s">
        <v>190</v>
      </c>
      <c r="C31" s="30">
        <v>2</v>
      </c>
      <c r="D31" s="30">
        <v>3</v>
      </c>
      <c r="E31" s="30">
        <v>4</v>
      </c>
      <c r="F31" s="30">
        <f t="shared" si="0"/>
        <v>3</v>
      </c>
      <c r="G31" s="30">
        <v>3</v>
      </c>
    </row>
    <row r="32" spans="1:7" ht="26.25" customHeight="1" x14ac:dyDescent="0.25">
      <c r="A32" s="30" t="s">
        <v>193</v>
      </c>
      <c r="B32" s="31" t="s">
        <v>195</v>
      </c>
      <c r="C32" s="30">
        <v>2</v>
      </c>
      <c r="D32" s="30">
        <v>3</v>
      </c>
      <c r="E32" s="30">
        <v>4</v>
      </c>
      <c r="F32" s="30">
        <f t="shared" si="0"/>
        <v>3</v>
      </c>
      <c r="G32" s="30">
        <v>3</v>
      </c>
    </row>
    <row r="33" spans="1:7" x14ac:dyDescent="0.25">
      <c r="A33" s="30" t="s">
        <v>196</v>
      </c>
      <c r="B33" s="31" t="s">
        <v>198</v>
      </c>
      <c r="C33" s="30">
        <v>2</v>
      </c>
      <c r="D33" s="30">
        <v>3</v>
      </c>
      <c r="E33" s="30">
        <v>4</v>
      </c>
      <c r="F33" s="30">
        <f t="shared" si="0"/>
        <v>3</v>
      </c>
      <c r="G33" s="30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46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B19" sqref="CB19"/>
    </sheetView>
  </sheetViews>
  <sheetFormatPr baseColWidth="10" defaultColWidth="8.7109375" defaultRowHeight="15" x14ac:dyDescent="0.25"/>
  <cols>
    <col min="1" max="1" width="9" customWidth="1"/>
    <col min="2" max="2" width="68.28515625" customWidth="1"/>
    <col min="3" max="78" width="2.5703125" customWidth="1"/>
  </cols>
  <sheetData>
    <row r="1" spans="1:78" ht="13.5" customHeight="1" x14ac:dyDescent="0.25">
      <c r="A1" s="50" t="s">
        <v>22</v>
      </c>
      <c r="B1" s="50" t="s">
        <v>229</v>
      </c>
      <c r="C1" s="51" t="s">
        <v>230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 t="s">
        <v>231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 t="s">
        <v>232</v>
      </c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 t="s">
        <v>233</v>
      </c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</row>
    <row r="2" spans="1:78" ht="21.75" customHeight="1" x14ac:dyDescent="0.25">
      <c r="A2" s="52"/>
      <c r="B2" s="52"/>
      <c r="C2" s="53" t="s">
        <v>234</v>
      </c>
      <c r="D2" s="53" t="s">
        <v>235</v>
      </c>
      <c r="E2" s="53" t="s">
        <v>236</v>
      </c>
      <c r="F2" s="53" t="s">
        <v>237</v>
      </c>
      <c r="G2" s="53" t="s">
        <v>238</v>
      </c>
      <c r="H2" s="53" t="s">
        <v>239</v>
      </c>
      <c r="I2" s="53" t="s">
        <v>240</v>
      </c>
      <c r="J2" s="53" t="s">
        <v>241</v>
      </c>
      <c r="K2" s="53" t="s">
        <v>242</v>
      </c>
      <c r="L2" s="53" t="s">
        <v>243</v>
      </c>
      <c r="M2" s="53" t="s">
        <v>244</v>
      </c>
      <c r="N2" s="53" t="s">
        <v>245</v>
      </c>
      <c r="O2" s="53" t="s">
        <v>246</v>
      </c>
      <c r="P2" s="53" t="s">
        <v>247</v>
      </c>
      <c r="Q2" s="53" t="s">
        <v>248</v>
      </c>
      <c r="R2" s="53" t="s">
        <v>249</v>
      </c>
      <c r="S2" s="53" t="s">
        <v>250</v>
      </c>
      <c r="T2" s="53" t="s">
        <v>251</v>
      </c>
      <c r="U2" s="53" t="s">
        <v>252</v>
      </c>
      <c r="V2" s="53" t="s">
        <v>253</v>
      </c>
      <c r="W2" s="53" t="s">
        <v>254</v>
      </c>
      <c r="X2" s="53" t="s">
        <v>234</v>
      </c>
      <c r="Y2" s="53" t="s">
        <v>255</v>
      </c>
      <c r="Z2" s="53" t="s">
        <v>256</v>
      </c>
      <c r="AA2" s="53" t="s">
        <v>235</v>
      </c>
      <c r="AB2" s="53" t="s">
        <v>236</v>
      </c>
      <c r="AC2" s="53" t="s">
        <v>239</v>
      </c>
      <c r="AD2" s="53" t="s">
        <v>257</v>
      </c>
      <c r="AE2" s="53" t="s">
        <v>258</v>
      </c>
      <c r="AF2" s="53" t="s">
        <v>240</v>
      </c>
      <c r="AG2" s="53" t="s">
        <v>241</v>
      </c>
      <c r="AH2" s="53" t="s">
        <v>244</v>
      </c>
      <c r="AI2" s="53" t="s">
        <v>259</v>
      </c>
      <c r="AJ2" s="53" t="s">
        <v>260</v>
      </c>
      <c r="AK2" s="53" t="s">
        <v>246</v>
      </c>
      <c r="AL2" s="53" t="s">
        <v>247</v>
      </c>
      <c r="AM2" s="53" t="s">
        <v>261</v>
      </c>
      <c r="AN2" s="53" t="s">
        <v>262</v>
      </c>
      <c r="AO2" s="53" t="s">
        <v>250</v>
      </c>
      <c r="AP2" s="53" t="s">
        <v>251</v>
      </c>
      <c r="AQ2" s="53" t="s">
        <v>252</v>
      </c>
      <c r="AR2" s="53" t="s">
        <v>263</v>
      </c>
      <c r="AS2" s="53" t="s">
        <v>264</v>
      </c>
      <c r="AT2" s="53" t="s">
        <v>234</v>
      </c>
      <c r="AU2" s="53" t="s">
        <v>255</v>
      </c>
      <c r="AV2" s="53" t="s">
        <v>256</v>
      </c>
      <c r="AW2" s="53" t="s">
        <v>237</v>
      </c>
      <c r="AX2" s="53" t="s">
        <v>238</v>
      </c>
      <c r="AY2" s="53" t="s">
        <v>239</v>
      </c>
      <c r="AZ2" s="53" t="s">
        <v>257</v>
      </c>
      <c r="BA2" s="53" t="s">
        <v>258</v>
      </c>
      <c r="BB2" s="53" t="s">
        <v>242</v>
      </c>
      <c r="BC2" s="53" t="s">
        <v>243</v>
      </c>
      <c r="BD2" s="53" t="s">
        <v>244</v>
      </c>
      <c r="BE2" s="53" t="s">
        <v>259</v>
      </c>
      <c r="BF2" s="53" t="s">
        <v>260</v>
      </c>
      <c r="BG2" s="53" t="s">
        <v>247</v>
      </c>
      <c r="BH2" s="53" t="s">
        <v>248</v>
      </c>
      <c r="BI2" s="53" t="s">
        <v>249</v>
      </c>
      <c r="BJ2" s="53" t="s">
        <v>261</v>
      </c>
      <c r="BK2" s="53" t="s">
        <v>262</v>
      </c>
      <c r="BL2" s="53" t="s">
        <v>252</v>
      </c>
      <c r="BM2" s="53" t="s">
        <v>253</v>
      </c>
      <c r="BN2" s="53" t="s">
        <v>254</v>
      </c>
      <c r="BO2" s="53" t="s">
        <v>263</v>
      </c>
      <c r="BP2" s="53" t="s">
        <v>264</v>
      </c>
      <c r="BQ2" s="53" t="s">
        <v>256</v>
      </c>
      <c r="BR2" s="53" t="s">
        <v>235</v>
      </c>
      <c r="BS2" s="53" t="s">
        <v>236</v>
      </c>
      <c r="BT2" s="53" t="s">
        <v>237</v>
      </c>
      <c r="BU2" s="53" t="s">
        <v>238</v>
      </c>
      <c r="BV2" s="53" t="s">
        <v>258</v>
      </c>
      <c r="BW2" s="53" t="s">
        <v>240</v>
      </c>
      <c r="BX2" s="53" t="s">
        <v>241</v>
      </c>
      <c r="BY2" s="53" t="s">
        <v>242</v>
      </c>
      <c r="BZ2" s="53" t="s">
        <v>243</v>
      </c>
    </row>
    <row r="3" spans="1:78" x14ac:dyDescent="0.25">
      <c r="A3" s="54" t="s">
        <v>38</v>
      </c>
      <c r="B3" s="54" t="s">
        <v>265</v>
      </c>
      <c r="C3" s="55"/>
      <c r="D3" s="55"/>
      <c r="E3" s="55"/>
      <c r="F3" s="55"/>
    </row>
    <row r="4" spans="1:78" x14ac:dyDescent="0.25">
      <c r="A4" s="54" t="s">
        <v>48</v>
      </c>
      <c r="B4" s="54" t="s">
        <v>266</v>
      </c>
      <c r="G4" s="55"/>
      <c r="H4" s="55"/>
      <c r="I4" s="55"/>
      <c r="J4" s="55"/>
      <c r="K4" s="55"/>
    </row>
    <row r="5" spans="1:78" x14ac:dyDescent="0.25">
      <c r="A5" s="54" t="s">
        <v>53</v>
      </c>
      <c r="B5" s="54" t="s">
        <v>267</v>
      </c>
      <c r="P5" s="56"/>
      <c r="Q5" s="56"/>
      <c r="R5" s="56"/>
    </row>
    <row r="6" spans="1:78" x14ac:dyDescent="0.25">
      <c r="A6" s="54" t="s">
        <v>58</v>
      </c>
      <c r="B6" s="54" t="s">
        <v>268</v>
      </c>
      <c r="P6" s="56"/>
      <c r="Q6" s="56"/>
      <c r="R6" s="56"/>
    </row>
    <row r="7" spans="1:78" x14ac:dyDescent="0.25">
      <c r="A7" s="54" t="s">
        <v>62</v>
      </c>
      <c r="B7" s="54" t="s">
        <v>269</v>
      </c>
      <c r="S7" s="56"/>
      <c r="T7" s="56"/>
      <c r="U7" s="56"/>
    </row>
    <row r="8" spans="1:78" x14ac:dyDescent="0.25">
      <c r="A8" s="54" t="s">
        <v>68</v>
      </c>
      <c r="B8" s="54" t="s">
        <v>270</v>
      </c>
      <c r="U8" s="56"/>
      <c r="V8" s="56"/>
      <c r="W8" s="56"/>
    </row>
    <row r="9" spans="1:78" x14ac:dyDescent="0.25">
      <c r="A9" s="57" t="s">
        <v>73</v>
      </c>
      <c r="B9" s="57" t="s">
        <v>271</v>
      </c>
      <c r="W9" s="58" t="s">
        <v>272</v>
      </c>
    </row>
    <row r="10" spans="1:78" x14ac:dyDescent="0.25">
      <c r="A10" s="54" t="s">
        <v>76</v>
      </c>
      <c r="B10" s="54" t="s">
        <v>273</v>
      </c>
      <c r="X10" s="59"/>
      <c r="Y10" s="59"/>
      <c r="Z10" s="59"/>
      <c r="AA10" s="59"/>
    </row>
    <row r="11" spans="1:78" x14ac:dyDescent="0.25">
      <c r="A11" s="54" t="s">
        <v>82</v>
      </c>
      <c r="B11" s="54" t="s">
        <v>274</v>
      </c>
      <c r="X11" s="56"/>
      <c r="Y11" s="56"/>
      <c r="Z11" s="56"/>
      <c r="AA11" s="56"/>
      <c r="AB11" s="56"/>
      <c r="AC11" s="56"/>
    </row>
    <row r="12" spans="1:78" x14ac:dyDescent="0.25">
      <c r="A12" s="54" t="s">
        <v>86</v>
      </c>
      <c r="B12" s="54" t="s">
        <v>275</v>
      </c>
      <c r="AB12" s="59"/>
      <c r="AC12" s="59"/>
      <c r="AD12" s="59"/>
    </row>
    <row r="13" spans="1:78" x14ac:dyDescent="0.25">
      <c r="A13" s="54" t="s">
        <v>91</v>
      </c>
      <c r="B13" s="54" t="s">
        <v>276</v>
      </c>
      <c r="AB13" s="59"/>
      <c r="AC13" s="59"/>
      <c r="AD13" s="59"/>
      <c r="AE13" s="59"/>
    </row>
    <row r="14" spans="1:78" x14ac:dyDescent="0.25">
      <c r="A14" s="57" t="s">
        <v>95</v>
      </c>
      <c r="B14" s="57" t="s">
        <v>277</v>
      </c>
      <c r="AD14" s="58" t="s">
        <v>272</v>
      </c>
    </row>
    <row r="15" spans="1:78" x14ac:dyDescent="0.25">
      <c r="A15" s="54" t="s">
        <v>97</v>
      </c>
      <c r="B15" s="54" t="s">
        <v>278</v>
      </c>
      <c r="AE15" s="59"/>
      <c r="AF15" s="59"/>
      <c r="AG15" s="59"/>
    </row>
    <row r="16" spans="1:78" x14ac:dyDescent="0.25">
      <c r="A16" s="54" t="s">
        <v>104</v>
      </c>
      <c r="B16" s="54" t="s">
        <v>279</v>
      </c>
      <c r="AH16" s="59"/>
      <c r="AI16" s="59"/>
      <c r="AJ16" s="59"/>
      <c r="AK16" s="59"/>
    </row>
    <row r="17" spans="1:63" x14ac:dyDescent="0.25">
      <c r="A17" s="54" t="s">
        <v>108</v>
      </c>
      <c r="B17" s="54" t="s">
        <v>280</v>
      </c>
      <c r="AH17" s="56"/>
      <c r="AI17" s="56"/>
      <c r="AJ17" s="56"/>
      <c r="AK17" s="56"/>
    </row>
    <row r="18" spans="1:63" x14ac:dyDescent="0.25">
      <c r="A18" s="54" t="s">
        <v>111</v>
      </c>
      <c r="B18" s="54" t="s">
        <v>281</v>
      </c>
      <c r="AH18" s="56"/>
      <c r="AI18" s="56"/>
      <c r="AJ18" s="56"/>
      <c r="AK18" s="56"/>
    </row>
    <row r="19" spans="1:63" x14ac:dyDescent="0.25">
      <c r="A19" s="54" t="s">
        <v>114</v>
      </c>
      <c r="B19" s="54" t="s">
        <v>282</v>
      </c>
      <c r="AL19" s="59"/>
      <c r="AM19" s="59"/>
      <c r="AN19" s="59"/>
    </row>
    <row r="20" spans="1:63" x14ac:dyDescent="0.25">
      <c r="A20" s="54" t="s">
        <v>120</v>
      </c>
      <c r="B20" s="54" t="s">
        <v>283</v>
      </c>
      <c r="AL20" s="56"/>
      <c r="AM20" s="56"/>
      <c r="AN20" s="56"/>
      <c r="AO20" s="56"/>
      <c r="AP20" s="56"/>
      <c r="AQ20" s="56"/>
      <c r="AR20" s="56"/>
      <c r="AS20" s="56"/>
    </row>
    <row r="21" spans="1:63" x14ac:dyDescent="0.25">
      <c r="A21" s="54" t="s">
        <v>125</v>
      </c>
      <c r="B21" s="54" t="s">
        <v>284</v>
      </c>
      <c r="AL21" s="59"/>
      <c r="AM21" s="59"/>
      <c r="AN21" s="59"/>
      <c r="AO21" s="59"/>
      <c r="AP21" s="59"/>
      <c r="AQ21" s="59"/>
      <c r="AR21" s="59"/>
    </row>
    <row r="22" spans="1:63" x14ac:dyDescent="0.25">
      <c r="A22" s="54" t="s">
        <v>130</v>
      </c>
      <c r="B22" s="54" t="s">
        <v>285</v>
      </c>
      <c r="AL22" s="59"/>
      <c r="AM22" s="59"/>
      <c r="AN22" s="59"/>
      <c r="AO22" s="59"/>
      <c r="AP22" s="59"/>
    </row>
    <row r="23" spans="1:63" x14ac:dyDescent="0.25">
      <c r="A23" s="54" t="s">
        <v>134</v>
      </c>
      <c r="B23" s="54" t="s">
        <v>286</v>
      </c>
      <c r="AP23" s="56"/>
      <c r="AQ23" s="56"/>
      <c r="AR23" s="56"/>
      <c r="AS23" s="56"/>
      <c r="AT23" s="56"/>
      <c r="AU23" s="56"/>
      <c r="AV23" s="56"/>
      <c r="AW23" s="56"/>
    </row>
    <row r="24" spans="1:63" x14ac:dyDescent="0.25">
      <c r="A24" s="54" t="s">
        <v>139</v>
      </c>
      <c r="B24" s="54" t="s">
        <v>287</v>
      </c>
      <c r="AT24" s="56"/>
      <c r="AU24" s="56"/>
      <c r="AV24" s="56"/>
      <c r="AW24" s="56"/>
    </row>
    <row r="25" spans="1:63" x14ac:dyDescent="0.25">
      <c r="A25" s="54" t="s">
        <v>144</v>
      </c>
      <c r="B25" s="54" t="s">
        <v>288</v>
      </c>
      <c r="AT25" s="59"/>
      <c r="AU25" s="59"/>
      <c r="AV25" s="59"/>
    </row>
    <row r="26" spans="1:63" x14ac:dyDescent="0.25">
      <c r="A26" s="57" t="s">
        <v>148</v>
      </c>
      <c r="B26" s="57" t="s">
        <v>289</v>
      </c>
      <c r="AW26" s="58" t="s">
        <v>272</v>
      </c>
    </row>
    <row r="27" spans="1:63" x14ac:dyDescent="0.25">
      <c r="A27" s="54" t="s">
        <v>150</v>
      </c>
      <c r="B27" s="54" t="s">
        <v>290</v>
      </c>
      <c r="AX27" s="56"/>
      <c r="AY27" s="56"/>
      <c r="AZ27" s="56"/>
    </row>
    <row r="28" spans="1:63" x14ac:dyDescent="0.25">
      <c r="A28" s="57" t="s">
        <v>156</v>
      </c>
      <c r="B28" s="57" t="s">
        <v>291</v>
      </c>
      <c r="AZ28" s="58" t="s">
        <v>272</v>
      </c>
    </row>
    <row r="29" spans="1:63" x14ac:dyDescent="0.25">
      <c r="A29" s="54" t="s">
        <v>158</v>
      </c>
      <c r="B29" s="54" t="s">
        <v>292</v>
      </c>
      <c r="BB29" s="59"/>
      <c r="BC29" s="59"/>
      <c r="BD29" s="59"/>
      <c r="BE29" s="59"/>
      <c r="BF29" s="59"/>
    </row>
    <row r="30" spans="1:63" x14ac:dyDescent="0.25">
      <c r="A30" s="54" t="s">
        <v>163</v>
      </c>
      <c r="B30" s="54" t="s">
        <v>293</v>
      </c>
      <c r="BB30" s="56"/>
      <c r="BC30" s="56"/>
      <c r="BD30" s="56"/>
      <c r="BE30" s="56"/>
      <c r="BF30" s="56"/>
    </row>
    <row r="31" spans="1:63" x14ac:dyDescent="0.25">
      <c r="A31" s="54" t="s">
        <v>165</v>
      </c>
      <c r="B31" s="54" t="s">
        <v>294</v>
      </c>
      <c r="BG31" s="56"/>
      <c r="BH31" s="56"/>
      <c r="BI31" s="56"/>
    </row>
    <row r="32" spans="1:63" x14ac:dyDescent="0.25">
      <c r="A32" s="54" t="s">
        <v>170</v>
      </c>
      <c r="B32" s="54" t="s">
        <v>295</v>
      </c>
      <c r="BI32" s="59"/>
      <c r="BJ32" s="59"/>
      <c r="BK32" s="59"/>
    </row>
    <row r="33" spans="1:78" x14ac:dyDescent="0.25">
      <c r="A33" s="54" t="s">
        <v>176</v>
      </c>
      <c r="B33" s="54" t="s">
        <v>296</v>
      </c>
      <c r="BL33" s="59"/>
      <c r="BM33" s="59"/>
      <c r="BN33" s="59"/>
    </row>
    <row r="34" spans="1:78" x14ac:dyDescent="0.25">
      <c r="A34" s="54" t="s">
        <v>181</v>
      </c>
      <c r="B34" s="54" t="s">
        <v>297</v>
      </c>
      <c r="BL34" s="56"/>
      <c r="BM34" s="56"/>
      <c r="BN34" s="56"/>
      <c r="BO34" s="56"/>
      <c r="BP34" s="56"/>
      <c r="BQ34" s="56"/>
    </row>
    <row r="35" spans="1:78" x14ac:dyDescent="0.25">
      <c r="A35" s="54" t="s">
        <v>185</v>
      </c>
      <c r="B35" s="54" t="s">
        <v>298</v>
      </c>
      <c r="BQ35" s="59"/>
      <c r="BR35" s="59"/>
      <c r="BS35" s="59"/>
    </row>
    <row r="36" spans="1:78" x14ac:dyDescent="0.25">
      <c r="A36" s="54" t="s">
        <v>189</v>
      </c>
      <c r="B36" s="54" t="s">
        <v>299</v>
      </c>
      <c r="BV36" s="56"/>
      <c r="BW36" s="56"/>
      <c r="BX36" s="56"/>
    </row>
    <row r="37" spans="1:78" x14ac:dyDescent="0.25">
      <c r="A37" s="54" t="s">
        <v>193</v>
      </c>
      <c r="B37" s="54" t="s">
        <v>300</v>
      </c>
      <c r="BV37" s="56"/>
      <c r="BW37" s="56"/>
      <c r="BX37" s="56"/>
    </row>
    <row r="38" spans="1:78" x14ac:dyDescent="0.25">
      <c r="A38" s="54" t="s">
        <v>196</v>
      </c>
      <c r="B38" s="54" t="s">
        <v>301</v>
      </c>
      <c r="BX38" s="56"/>
      <c r="BY38" s="56"/>
      <c r="BZ38" s="56"/>
    </row>
    <row r="39" spans="1:78" x14ac:dyDescent="0.25">
      <c r="A39" s="57" t="s">
        <v>202</v>
      </c>
      <c r="B39" s="57" t="s">
        <v>302</v>
      </c>
      <c r="BZ39" s="58" t="s">
        <v>272</v>
      </c>
    </row>
    <row r="41" spans="1:78" x14ac:dyDescent="0.25">
      <c r="A41" s="60" t="s">
        <v>303</v>
      </c>
    </row>
    <row r="42" spans="1:78" x14ac:dyDescent="0.25">
      <c r="A42" s="61"/>
      <c r="B42" s="62" t="s">
        <v>31</v>
      </c>
    </row>
    <row r="43" spans="1:78" x14ac:dyDescent="0.25">
      <c r="A43" s="63"/>
      <c r="B43" s="62" t="s">
        <v>304</v>
      </c>
    </row>
    <row r="44" spans="1:78" x14ac:dyDescent="0.25">
      <c r="A44" s="64"/>
      <c r="B44" s="62" t="s">
        <v>305</v>
      </c>
    </row>
    <row r="45" spans="1:78" x14ac:dyDescent="0.25">
      <c r="A45" s="65"/>
      <c r="B45" s="62" t="s">
        <v>306</v>
      </c>
    </row>
    <row r="46" spans="1:78" ht="24.75" customHeight="1" x14ac:dyDescent="0.25">
      <c r="B46" s="66" t="s">
        <v>307</v>
      </c>
    </row>
  </sheetData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Supuestos</vt:lpstr>
      <vt:lpstr>Cronograma</vt:lpstr>
      <vt:lpstr>Costos_EDT</vt:lpstr>
      <vt:lpstr>Estimacion_PERT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 Pinzòn V.</cp:lastModifiedBy>
  <cp:revision>0</cp:revision>
  <cp:lastPrinted>2026-09-03T00:07:51Z</cp:lastPrinted>
  <dcterms:created xsi:type="dcterms:W3CDTF">2026-09-03T00:00:25Z</dcterms:created>
  <dcterms:modified xsi:type="dcterms:W3CDTF">2026-10-22T04:05:18Z</dcterms:modified>
  <dc:language>en-US</dc:language>
</cp:coreProperties>
</file>